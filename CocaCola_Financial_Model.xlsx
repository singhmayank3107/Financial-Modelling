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02a00fe31ca57e/Documents/"/>
    </mc:Choice>
  </mc:AlternateContent>
  <xr:revisionPtr revIDLastSave="1372" documentId="8_{4F996163-4D42-493B-9F5F-2F308B52E896}" xr6:coauthVersionLast="47" xr6:coauthVersionMax="47" xr10:uidLastSave="{07AE92BC-ABD6-4C35-A6B8-48BAE0AA3D57}"/>
  <bookViews>
    <workbookView xWindow="-108" yWindow="-108" windowWidth="23256" windowHeight="12456" xr2:uid="{4AC9A830-2267-4F2E-850A-DCB6FBA7F0B5}"/>
  </bookViews>
  <sheets>
    <sheet name="income statement" sheetId="1" r:id="rId1"/>
    <sheet name="balance sheet" sheetId="2" r:id="rId2"/>
    <sheet name="cash flow" sheetId="3" r:id="rId3"/>
    <sheet name="ratio analysis" sheetId="4" r:id="rId4"/>
    <sheet name="Trend Analysis" sheetId="7" r:id="rId5"/>
    <sheet name="forecast model" sheetId="5" r:id="rId6"/>
    <sheet name="Assumptions" sheetId="8" r:id="rId7"/>
    <sheet name="Income statement forecasting" sheetId="9" r:id="rId8"/>
    <sheet name="Balance sheet forecasting" sheetId="10" r:id="rId9"/>
    <sheet name="Cash flow forcasting" sheetId="11" r:id="rId10"/>
    <sheet name="Dcf Valuation" sheetId="12" r:id="rId11"/>
    <sheet name="DCF Summary" sheetId="13" r:id="rId12"/>
    <sheet name="Trading Comps" sheetId="14" r:id="rId13"/>
    <sheet name="Transaction Analysis" sheetId="15" r:id="rId14"/>
    <sheet name="LBO Assumptions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" i="16" l="1"/>
  <c r="P25" i="16"/>
  <c r="P12" i="16"/>
  <c r="P11" i="16"/>
  <c r="P10" i="16"/>
  <c r="P8" i="16"/>
  <c r="P7" i="16"/>
  <c r="P5" i="16"/>
  <c r="I26" i="16"/>
  <c r="I25" i="16"/>
  <c r="J21" i="16"/>
  <c r="I21" i="16"/>
  <c r="H26" i="16"/>
  <c r="I23" i="16"/>
  <c r="J23" i="16"/>
  <c r="I24" i="16"/>
  <c r="J24" i="16"/>
  <c r="K24" i="16"/>
  <c r="L24" i="16"/>
  <c r="H25" i="16"/>
  <c r="H24" i="16"/>
  <c r="H23" i="16"/>
  <c r="B7" i="16"/>
  <c r="H15" i="16"/>
  <c r="I15" i="16"/>
  <c r="J15" i="16"/>
  <c r="K15" i="16"/>
  <c r="L15" i="16"/>
  <c r="G15" i="16"/>
  <c r="I14" i="16"/>
  <c r="J14" i="16"/>
  <c r="K14" i="16"/>
  <c r="L14" i="16"/>
  <c r="H14" i="16"/>
  <c r="H13" i="16"/>
  <c r="I13" i="16"/>
  <c r="J13" i="16"/>
  <c r="K13" i="16"/>
  <c r="L13" i="16"/>
  <c r="G13" i="16"/>
  <c r="H12" i="16"/>
  <c r="I12" i="16"/>
  <c r="J12" i="16"/>
  <c r="K12" i="16"/>
  <c r="L12" i="16"/>
  <c r="G12" i="16"/>
  <c r="H11" i="16"/>
  <c r="I11" i="16"/>
  <c r="J11" i="16"/>
  <c r="K11" i="16"/>
  <c r="L11" i="16"/>
  <c r="G11" i="16"/>
  <c r="H10" i="16"/>
  <c r="I10" i="16"/>
  <c r="J10" i="16"/>
  <c r="K10" i="16"/>
  <c r="L10" i="16"/>
  <c r="G10" i="16"/>
  <c r="H9" i="16"/>
  <c r="I9" i="16"/>
  <c r="J9" i="16"/>
  <c r="K9" i="16"/>
  <c r="L9" i="16"/>
  <c r="G9" i="16"/>
  <c r="H8" i="16"/>
  <c r="I8" i="16"/>
  <c r="J8" i="16"/>
  <c r="K8" i="16"/>
  <c r="L8" i="16"/>
  <c r="G8" i="16"/>
  <c r="L7" i="16"/>
  <c r="K7" i="16"/>
  <c r="J7" i="16"/>
  <c r="I7" i="16"/>
  <c r="H7" i="16"/>
  <c r="I5" i="16"/>
  <c r="J5" i="16" s="1"/>
  <c r="K5" i="16" s="1"/>
  <c r="L5" i="16" s="1"/>
  <c r="H5" i="16"/>
  <c r="G5" i="16"/>
  <c r="B4" i="16"/>
  <c r="D40" i="15"/>
  <c r="D39" i="15"/>
  <c r="E34" i="15"/>
  <c r="E33" i="15"/>
  <c r="C28" i="15"/>
  <c r="C27" i="15"/>
  <c r="C12" i="15"/>
  <c r="C11" i="15"/>
  <c r="B12" i="15"/>
  <c r="B11" i="15"/>
  <c r="C10" i="15"/>
  <c r="B10" i="15"/>
  <c r="C9" i="15"/>
  <c r="B9" i="15"/>
  <c r="G3" i="15"/>
  <c r="G4" i="15"/>
  <c r="G5" i="15"/>
  <c r="G6" i="15"/>
  <c r="G2" i="15"/>
  <c r="F3" i="15"/>
  <c r="F4" i="15"/>
  <c r="F5" i="15"/>
  <c r="F6" i="15"/>
  <c r="F2" i="15"/>
  <c r="C8" i="14"/>
  <c r="D8" i="14"/>
  <c r="E8" i="14"/>
  <c r="F8" i="14"/>
  <c r="G8" i="14"/>
  <c r="H8" i="14"/>
  <c r="I8" i="14"/>
  <c r="J8" i="14"/>
  <c r="K8" i="14"/>
  <c r="B8" i="14"/>
  <c r="C7" i="14"/>
  <c r="D7" i="14"/>
  <c r="E7" i="14"/>
  <c r="F7" i="14"/>
  <c r="G7" i="14"/>
  <c r="H7" i="14"/>
  <c r="I7" i="14"/>
  <c r="J7" i="14"/>
  <c r="K7" i="14"/>
  <c r="B7" i="14"/>
  <c r="B17" i="12"/>
  <c r="E19" i="12"/>
  <c r="B14" i="13"/>
  <c r="G17" i="12"/>
  <c r="G16" i="12"/>
  <c r="B10" i="12"/>
  <c r="F10" i="12"/>
  <c r="E10" i="12"/>
  <c r="D10" i="12"/>
  <c r="C10" i="12"/>
  <c r="C6" i="12"/>
  <c r="D6" i="12"/>
  <c r="E6" i="12"/>
  <c r="F6" i="12"/>
  <c r="B6" i="12"/>
  <c r="C5" i="12"/>
  <c r="D5" i="12"/>
  <c r="E5" i="12"/>
  <c r="F5" i="12"/>
  <c r="B5" i="12"/>
  <c r="C3" i="12"/>
  <c r="D3" i="12"/>
  <c r="E3" i="12"/>
  <c r="F3" i="12"/>
  <c r="C2" i="12"/>
  <c r="D2" i="12"/>
  <c r="E2" i="12"/>
  <c r="F2" i="12"/>
  <c r="B2" i="12"/>
  <c r="B3" i="12"/>
  <c r="C19" i="10"/>
  <c r="D19" i="10"/>
  <c r="E19" i="10"/>
  <c r="F19" i="10"/>
  <c r="G19" i="10"/>
  <c r="B19" i="10"/>
  <c r="C16" i="10"/>
  <c r="D16" i="10"/>
  <c r="E16" i="10"/>
  <c r="F16" i="10"/>
  <c r="G16" i="10"/>
  <c r="B16" i="10"/>
  <c r="C7" i="10"/>
  <c r="D7" i="10"/>
  <c r="E7" i="10"/>
  <c r="F7" i="10"/>
  <c r="G7" i="10"/>
  <c r="B7" i="10"/>
  <c r="B10" i="10" s="1"/>
  <c r="C14" i="11"/>
  <c r="D14" i="11"/>
  <c r="E14" i="11"/>
  <c r="F14" i="11"/>
  <c r="G14" i="11"/>
  <c r="B14" i="11"/>
  <c r="B15" i="11" s="1"/>
  <c r="C10" i="11"/>
  <c r="D10" i="11"/>
  <c r="E10" i="11"/>
  <c r="F10" i="11"/>
  <c r="G10" i="11"/>
  <c r="B10" i="11"/>
  <c r="B11" i="11" s="1"/>
  <c r="C15" i="11"/>
  <c r="D15" i="11"/>
  <c r="E15" i="11"/>
  <c r="F15" i="11"/>
  <c r="G15" i="11"/>
  <c r="C11" i="11"/>
  <c r="D11" i="11"/>
  <c r="E11" i="11"/>
  <c r="F11" i="11"/>
  <c r="G11" i="11"/>
  <c r="G16" i="11" s="1"/>
  <c r="G8" i="11"/>
  <c r="C7" i="11"/>
  <c r="D7" i="11"/>
  <c r="E7" i="11"/>
  <c r="F7" i="11"/>
  <c r="B7" i="11"/>
  <c r="C6" i="11"/>
  <c r="D6" i="11"/>
  <c r="E6" i="11"/>
  <c r="F6" i="11"/>
  <c r="B6" i="11"/>
  <c r="F5" i="11"/>
  <c r="F8" i="11" s="1"/>
  <c r="C5" i="11"/>
  <c r="C8" i="11" s="1"/>
  <c r="D5" i="11"/>
  <c r="D8" i="11" s="1"/>
  <c r="E5" i="11"/>
  <c r="E8" i="11" s="1"/>
  <c r="B5" i="11"/>
  <c r="C4" i="11"/>
  <c r="D4" i="11"/>
  <c r="E4" i="11"/>
  <c r="F4" i="11"/>
  <c r="G4" i="11"/>
  <c r="B4" i="11"/>
  <c r="C3" i="11"/>
  <c r="D3" i="11"/>
  <c r="E3" i="11"/>
  <c r="F3" i="11"/>
  <c r="G3" i="11"/>
  <c r="B3" i="11"/>
  <c r="G6" i="9"/>
  <c r="C6" i="9"/>
  <c r="D6" i="9"/>
  <c r="E6" i="9"/>
  <c r="F6" i="9"/>
  <c r="B6" i="9"/>
  <c r="B5" i="9" s="1"/>
  <c r="C3" i="9"/>
  <c r="D3" i="9"/>
  <c r="E3" i="9"/>
  <c r="F3" i="9"/>
  <c r="G3" i="9"/>
  <c r="B3" i="9"/>
  <c r="B18" i="9"/>
  <c r="B17" i="9"/>
  <c r="B16" i="9"/>
  <c r="B11" i="9"/>
  <c r="B14" i="9" s="1"/>
  <c r="B9" i="9"/>
  <c r="B7" i="9"/>
  <c r="C2" i="9"/>
  <c r="G5" i="5"/>
  <c r="F5" i="5"/>
  <c r="E5" i="5"/>
  <c r="G2" i="5"/>
  <c r="F2" i="5"/>
  <c r="E2" i="5"/>
  <c r="C11" i="4"/>
  <c r="B11" i="4"/>
  <c r="D3" i="4"/>
  <c r="C12" i="4"/>
  <c r="C10" i="4"/>
  <c r="C9" i="4"/>
  <c r="C8" i="4"/>
  <c r="D7" i="4"/>
  <c r="C7" i="4"/>
  <c r="D6" i="4"/>
  <c r="C6" i="4"/>
  <c r="D5" i="4"/>
  <c r="C5" i="4"/>
  <c r="D4" i="4"/>
  <c r="C4" i="4"/>
  <c r="B12" i="4"/>
  <c r="B10" i="4"/>
  <c r="B9" i="4"/>
  <c r="C3" i="4"/>
  <c r="B8" i="4"/>
  <c r="B7" i="4"/>
  <c r="B6" i="4"/>
  <c r="B5" i="4"/>
  <c r="B4" i="4"/>
  <c r="B3" i="4"/>
  <c r="B2" i="4"/>
  <c r="C2" i="4"/>
  <c r="J25" i="16" l="1"/>
  <c r="J26" i="16" s="1"/>
  <c r="K21" i="16" s="1"/>
  <c r="C8" i="12"/>
  <c r="C11" i="12" s="1"/>
  <c r="C4" i="12"/>
  <c r="D8" i="12"/>
  <c r="D11" i="12" s="1"/>
  <c r="D4" i="12"/>
  <c r="E8" i="12"/>
  <c r="E11" i="12" s="1"/>
  <c r="E4" i="12"/>
  <c r="F8" i="12"/>
  <c r="F4" i="12"/>
  <c r="B8" i="12"/>
  <c r="B11" i="12" s="1"/>
  <c r="B4" i="12"/>
  <c r="B8" i="11"/>
  <c r="B16" i="11" s="1"/>
  <c r="B18" i="11" s="1"/>
  <c r="C16" i="11"/>
  <c r="C18" i="11" s="1"/>
  <c r="D16" i="11"/>
  <c r="E16" i="11"/>
  <c r="F16" i="11"/>
  <c r="C11" i="9"/>
  <c r="C14" i="9" s="1"/>
  <c r="C9" i="9"/>
  <c r="C5" i="9"/>
  <c r="C4" i="9" s="1"/>
  <c r="C7" i="9"/>
  <c r="D2" i="9"/>
  <c r="K25" i="16" l="1"/>
  <c r="K26" i="16"/>
  <c r="L21" i="16" s="1"/>
  <c r="K23" i="16"/>
  <c r="F11" i="12"/>
  <c r="B13" i="12"/>
  <c r="B14" i="12" s="1"/>
  <c r="G13" i="12"/>
  <c r="G14" i="12" s="1"/>
  <c r="B15" i="12"/>
  <c r="B16" i="12" s="1"/>
  <c r="A13" i="13" s="1"/>
  <c r="G15" i="12"/>
  <c r="C2" i="10"/>
  <c r="C10" i="10" s="1"/>
  <c r="D17" i="11"/>
  <c r="D18" i="11" s="1"/>
  <c r="C16" i="9"/>
  <c r="C17" i="9" s="1"/>
  <c r="C18" i="9" s="1"/>
  <c r="D5" i="9"/>
  <c r="D4" i="9" s="1"/>
  <c r="D7" i="9"/>
  <c r="D9" i="9"/>
  <c r="D11" i="9"/>
  <c r="D14" i="9" s="1"/>
  <c r="E2" i="9"/>
  <c r="L25" i="16" l="1"/>
  <c r="L26" i="16"/>
  <c r="L23" i="16"/>
  <c r="D2" i="10"/>
  <c r="D10" i="10" s="1"/>
  <c r="E17" i="11"/>
  <c r="E18" i="11" s="1"/>
  <c r="D17" i="9"/>
  <c r="D18" i="9" s="1"/>
  <c r="D16" i="9"/>
  <c r="E5" i="9"/>
  <c r="E4" i="9" s="1"/>
  <c r="E7" i="9"/>
  <c r="E9" i="9"/>
  <c r="E11" i="9"/>
  <c r="E14" i="9" s="1"/>
  <c r="F2" i="9"/>
  <c r="E2" i="10" l="1"/>
  <c r="E10" i="10" s="1"/>
  <c r="F17" i="11"/>
  <c r="F18" i="11" s="1"/>
  <c r="E17" i="9"/>
  <c r="E18" i="9" s="1"/>
  <c r="E16" i="9"/>
  <c r="F5" i="9"/>
  <c r="F4" i="9" s="1"/>
  <c r="F7" i="9"/>
  <c r="F9" i="9"/>
  <c r="F11" i="9"/>
  <c r="F14" i="9" s="1"/>
  <c r="G2" i="9"/>
  <c r="F2" i="10" l="1"/>
  <c r="F10" i="10" s="1"/>
  <c r="G17" i="11"/>
  <c r="G18" i="11" s="1"/>
  <c r="G2" i="10" s="1"/>
  <c r="G10" i="10" s="1"/>
  <c r="F17" i="9"/>
  <c r="F18" i="9" s="1"/>
  <c r="F16" i="9"/>
  <c r="G5" i="9"/>
  <c r="G4" i="9" s="1"/>
  <c r="G7" i="9"/>
  <c r="G9" i="9"/>
  <c r="G11" i="9"/>
  <c r="G14" i="9" s="1"/>
  <c r="G16" i="9" l="1"/>
  <c r="G17" i="9" s="1"/>
  <c r="G18" i="9" s="1"/>
</calcChain>
</file>

<file path=xl/sharedStrings.xml><?xml version="1.0" encoding="utf-8"?>
<sst xmlns="http://schemas.openxmlformats.org/spreadsheetml/2006/main" count="394" uniqueCount="256">
  <si>
    <t>Consolidated Net Income</t>
  </si>
  <si>
    <t>A (Particulars)</t>
  </si>
  <si>
    <t>B (FY2024)</t>
  </si>
  <si>
    <t>C (FY2023)</t>
  </si>
  <si>
    <t>D (FY2022)</t>
  </si>
  <si>
    <t>Net Operating Revenues</t>
  </si>
  <si>
    <t>Cost of Goods Sold</t>
  </si>
  <si>
    <t>Gross Profit</t>
  </si>
  <si>
    <t>Selling, General &amp; Administrative Expenses</t>
  </si>
  <si>
    <t>Other Operating Charges</t>
  </si>
  <si>
    <t>Operating Income</t>
  </si>
  <si>
    <t>Interest Income</t>
  </si>
  <si>
    <t>Interest Expense</t>
  </si>
  <si>
    <t>Income Before Taxes</t>
  </si>
  <si>
    <t>Income Taxes</t>
  </si>
  <si>
    <t>Net Income Attributable to Shareowners</t>
  </si>
  <si>
    <t>Particulars</t>
  </si>
  <si>
    <t>FY2024</t>
  </si>
  <si>
    <t>FY2023</t>
  </si>
  <si>
    <t>Cash &amp; Cash Equivalents</t>
  </si>
  <si>
    <t>Short-Term Investments</t>
  </si>
  <si>
    <t>Accounts Receivable</t>
  </si>
  <si>
    <t>Inventory</t>
  </si>
  <si>
    <t>Total Current Assets</t>
  </si>
  <si>
    <t>Property, Plant &amp; Equipment</t>
  </si>
  <si>
    <t>Total Assets</t>
  </si>
  <si>
    <t>Accounts Payable &amp; Accrued Expenses</t>
  </si>
  <si>
    <t>Short-Term Debt</t>
  </si>
  <si>
    <t>Current Maturities of Long-Term Debt</t>
  </si>
  <si>
    <t>Long-Term Debt</t>
  </si>
  <si>
    <t>Total Liabilities</t>
  </si>
  <si>
    <t>Total Equity</t>
  </si>
  <si>
    <t>FY2022</t>
  </si>
  <si>
    <t>Depreciation &amp; Amortization</t>
  </si>
  <si>
    <t>Net Cash From Operating Activities (CFO)</t>
  </si>
  <si>
    <t>Purchases of Property, Plant &amp; Equipment (CapEx)</t>
  </si>
  <si>
    <t>Net Cash From Investing Activities</t>
  </si>
  <si>
    <t>Net Cash From Financing Activities</t>
  </si>
  <si>
    <t>Ending Cash Balance</t>
  </si>
  <si>
    <t>Metric</t>
  </si>
  <si>
    <t>Formula</t>
  </si>
  <si>
    <t>Revenue Growth</t>
  </si>
  <si>
    <t>(Current Revenue − Previous Revenue) / Previous Revenue</t>
  </si>
  <si>
    <t>Gross Margin</t>
  </si>
  <si>
    <t>Gross Profit / Revenue</t>
  </si>
  <si>
    <t>EBITDA</t>
  </si>
  <si>
    <t>Operating Income + Depreciation &amp; Amortization</t>
  </si>
  <si>
    <t>EBITDA Margin</t>
  </si>
  <si>
    <t>EBITDA / Revenue</t>
  </si>
  <si>
    <t>Operating Margin</t>
  </si>
  <si>
    <t>Operating Income / Revenue</t>
  </si>
  <si>
    <t>Net Margin</t>
  </si>
  <si>
    <t>Net Income / Revenue</t>
  </si>
  <si>
    <t>DSO</t>
  </si>
  <si>
    <t>Accounts Receivable / Revenue × 365</t>
  </si>
  <si>
    <t>DIO</t>
  </si>
  <si>
    <t>Inventory / Cost of Goods Sold × 365</t>
  </si>
  <si>
    <t>DPO</t>
  </si>
  <si>
    <t>Accounts Payable / Cost of Goods Sold × 365</t>
  </si>
  <si>
    <t>CapEx % Revenue</t>
  </si>
  <si>
    <t>CapEx / Revenue</t>
  </si>
  <si>
    <t>Debt / EBITDA</t>
  </si>
  <si>
    <t>Total Debt / EBITDA</t>
  </si>
  <si>
    <t>Revenue grew in FY2023 but declined slightly by 2.86% in FY2024, indicating slower sales growth or weaker demand.</t>
  </si>
  <si>
    <t>2. Profitability</t>
  </si>
  <si>
    <t xml:space="preserve">
1. Revenue
</t>
  </si>
  <si>
    <t>Gross margin improved from 58.14% in FY2022 to 61.06% in FY2024, suggesting improved cost management. However, EBITDA and operating margins declined, indicating increased operating expenses.</t>
  </si>
  <si>
    <t>3. Working Capital Efficiency</t>
  </si>
  <si>
    <t>DSO decreased slightly, reflecting faster customer collections. Inventory days increased, suggesting slower inventory turnover. DPO increased significantly, meaning the company took longer to pay suppliers, which may have improved short-term cash flow.</t>
  </si>
  <si>
    <t>4. Capital Investment</t>
  </si>
  <si>
    <t>Capital expenditure remained around 4% of revenue, indicating continued investment in long-term assets while maintaining a relatively stable investment level.</t>
  </si>
  <si>
    <t>5. Leverage</t>
  </si>
  <si>
    <t>Debt-to-EBITDA increased from 3.53× to 3.96×, indicating that leverage rose relative to operating earnings. This could increase financial risk if earnings continue to decline.</t>
  </si>
  <si>
    <t>COCA COLA DASHBOARD</t>
  </si>
  <si>
    <t>TREND ANALYSIS</t>
  </si>
  <si>
    <t>FY2025E</t>
  </si>
  <si>
    <t>FY2026E</t>
  </si>
  <si>
    <t>FY2027E</t>
  </si>
  <si>
    <t>Revenue</t>
  </si>
  <si>
    <t>Net Income</t>
  </si>
  <si>
    <t>Assumption</t>
  </si>
  <si>
    <t>2025E</t>
  </si>
  <si>
    <t>2026E</t>
  </si>
  <si>
    <t>2027E</t>
  </si>
  <si>
    <t>2028E</t>
  </si>
  <si>
    <t>2029E</t>
  </si>
  <si>
    <t>Tax Rate</t>
  </si>
  <si>
    <t>Depreciation % Revenue</t>
  </si>
  <si>
    <t>Line Item</t>
  </si>
  <si>
    <t>2024A</t>
  </si>
  <si>
    <t>SG&amp;A Expense</t>
  </si>
  <si>
    <t>SG&amp;A % of Revenue</t>
  </si>
  <si>
    <t>D&amp;A % of Revenue</t>
  </si>
  <si>
    <t>Operating Income (EBIT)</t>
  </si>
  <si>
    <t>Earnings Before Tax (EBT)</t>
  </si>
  <si>
    <t>Cost of goods sold</t>
  </si>
  <si>
    <t>SGA% of revenue</t>
  </si>
  <si>
    <t>Tax Expense</t>
  </si>
  <si>
    <t>Other Assets</t>
  </si>
  <si>
    <t>FY2028E</t>
  </si>
  <si>
    <t>FY2029E</t>
  </si>
  <si>
    <t>Forecast Method</t>
  </si>
  <si>
    <t>Link</t>
  </si>
  <si>
    <t>Plug</t>
  </si>
  <si>
    <t>Constant</t>
  </si>
  <si>
    <t>% of Revenue</t>
  </si>
  <si>
    <t>% of COGS</t>
  </si>
  <si>
    <t>4% Growth</t>
  </si>
  <si>
    <t>Cash Flow Statement</t>
  </si>
  <si>
    <t>Operating Activities</t>
  </si>
  <si>
    <t>Link from Income Statement</t>
  </si>
  <si>
    <t>Change in Accounts Receivable</t>
  </si>
  <si>
    <t>Balance Sheet</t>
  </si>
  <si>
    <t>Change in Inventory</t>
  </si>
  <si>
    <t>Change in Accounts Payable</t>
  </si>
  <si>
    <t>Net Cash from Operating Activities</t>
  </si>
  <si>
    <t>Investing Activities</t>
  </si>
  <si>
    <t>Capital Expenditures (CapEx)</t>
  </si>
  <si>
    <t>Net Cash from Investing Activities</t>
  </si>
  <si>
    <t>Financing Activities</t>
  </si>
  <si>
    <t>Debt Issued / (Repaid)</t>
  </si>
  <si>
    <t>Dividends Paid</t>
  </si>
  <si>
    <t>Net Cash from Financing Activities</t>
  </si>
  <si>
    <t>Net Increase / (Decrease) in Cash</t>
  </si>
  <si>
    <t>Beginning Cash</t>
  </si>
  <si>
    <t>Ending Cash</t>
  </si>
  <si>
    <t>Link to Balance Sheet</t>
  </si>
  <si>
    <t>other current asset</t>
  </si>
  <si>
    <t>Other liabilities</t>
  </si>
  <si>
    <t>Balance check</t>
  </si>
  <si>
    <t>Note</t>
  </si>
  <si>
    <t>Balance Sheet prepared using simplified assumptions. Equity roll-forward and detailed financing schedules were not modeled</t>
  </si>
  <si>
    <t>EBIT</t>
  </si>
  <si>
    <t>Less: Taxes</t>
  </si>
  <si>
    <t>NOPAT</t>
  </si>
  <si>
    <t>+ Depreciation &amp; Amortization</t>
  </si>
  <si>
    <t>− Capital Expenditures</t>
  </si>
  <si>
    <t>− Change in Net Working Capital</t>
  </si>
  <si>
    <t>Free Cash Flow to Firm (FCFF)</t>
  </si>
  <si>
    <t>Asssumption</t>
  </si>
  <si>
    <t>Discount Rate</t>
  </si>
  <si>
    <r>
      <t>(</t>
    </r>
    <r>
      <rPr>
        <b/>
        <sz val="11"/>
        <color theme="1"/>
        <rFont val="Calibri"/>
        <family val="2"/>
        <scheme val="minor"/>
      </rPr>
      <t>Weighted average cost of capital</t>
    </r>
    <r>
      <rPr>
        <sz val="11"/>
        <color theme="1"/>
        <rFont val="Calibri"/>
        <family val="2"/>
        <scheme val="minor"/>
      </rPr>
      <t>) To convert future cash flow to current rate</t>
    </r>
  </si>
  <si>
    <t>Terminal growth rate</t>
  </si>
  <si>
    <t>Terminal value (represents all future cash flows beyond your forecast years.)</t>
  </si>
  <si>
    <t>PV(TV)</t>
  </si>
  <si>
    <t>EV(Enterprise value)</t>
  </si>
  <si>
    <t>PV(present value) of FCFF</t>
  </si>
  <si>
    <t>Equity Value</t>
  </si>
  <si>
    <t>Target Price</t>
  </si>
  <si>
    <t>DCF estimates intrinsic value based on future FCFF.
If target price &gt; current market price → potentially undervalued.
If target price &lt; current market price → potentially overvalued.</t>
  </si>
  <si>
    <t>DCF Valuation</t>
  </si>
  <si>
    <t>Senstivity Analysis</t>
  </si>
  <si>
    <t>Company</t>
  </si>
  <si>
    <t>Share Price</t>
  </si>
  <si>
    <t>Shares Outstanding</t>
  </si>
  <si>
    <t>Market Cap</t>
  </si>
  <si>
    <t>Total Debt</t>
  </si>
  <si>
    <t>Cash</t>
  </si>
  <si>
    <t>Enterprise Value</t>
  </si>
  <si>
    <t>Revenue (LTM)</t>
  </si>
  <si>
    <t>EBITDA (LTM)</t>
  </si>
  <si>
    <t>EV/Revenue</t>
  </si>
  <si>
    <t>EV/EBITDA</t>
  </si>
  <si>
    <t>Coca-Cola</t>
  </si>
  <si>
    <t>Monster Beverage</t>
  </si>
  <si>
    <t>Keurig Dr Pepper (KDP)</t>
  </si>
  <si>
    <t>National Beverage</t>
  </si>
  <si>
    <t>median</t>
  </si>
  <si>
    <t>DSO(Daily shares outstanding)</t>
  </si>
  <si>
    <t>PepsiCo</t>
  </si>
  <si>
    <t>average</t>
  </si>
  <si>
    <t>Acquirer</t>
  </si>
  <si>
    <t>Target</t>
  </si>
  <si>
    <t>EV ($M)</t>
  </si>
  <si>
    <t>Revenue ($M)</t>
  </si>
  <si>
    <t>EBITDA ($M)</t>
  </si>
  <si>
    <t>BigTech</t>
  </si>
  <si>
    <t>AppCo</t>
  </si>
  <si>
    <t>CloudCorp</t>
  </si>
  <si>
    <t>SaaSTech</t>
  </si>
  <si>
    <t>PE Fund A</t>
  </si>
  <si>
    <t>DataPlatform</t>
  </si>
  <si>
    <t>StrategicCo</t>
  </si>
  <si>
    <t>SoftModule</t>
  </si>
  <si>
    <t>TechGiant</t>
  </si>
  <si>
    <t>AnalyticsPro</t>
  </si>
  <si>
    <t>Statistic</t>
  </si>
  <si>
    <t>Mean</t>
  </si>
  <si>
    <t>Median</t>
  </si>
  <si>
    <t>High</t>
  </si>
  <si>
    <t>Low</t>
  </si>
  <si>
    <t>Value</t>
  </si>
  <si>
    <t>Debt</t>
  </si>
  <si>
    <t>Valuation Method</t>
  </si>
  <si>
    <t>Revenue × Median EV/Revenue</t>
  </si>
  <si>
    <t>EBITDA × Median EV/EBITDA</t>
  </si>
  <si>
    <t>Current Share Price</t>
  </si>
  <si>
    <t>TARGET COMPANY(MidTech Corp)</t>
  </si>
  <si>
    <t>Past Acquisitions
        │
        ▼
Company A bought Company B
Company C bought Company D
Company E bought Company F
        │
        ▼
Calculate transaction multiples
(EV/Revenue, EV/EBITDA)
        │
        ▼
Find the median multiple
        │
        ▼
Apply it to OUR target company
        │
        ▼
Estimate acquisition value</t>
  </si>
  <si>
    <t>Historical Financial Statements
        │
        ▼
Forecast Revenue, Expenses,
EBIT, CapEx, Working Capital
        │
        ▼
Calculate Free Cash Flow (FCFF)
        │
        ▼
Calculate Terminal Value
        │
        ▼
Discount FCFF &amp; Terminal Value
using WACC
        │
        ▼
Enterprise Value
        │
        ▼
Less Debt + Add Cash
        │
        ▼
Equity Value
        │
        ▼
Implied Share Price</t>
  </si>
  <si>
    <t>Find Similar Public Companies
        │
        ▼
Collect Market Data
(Share Price, Market Cap,
Debt, Cash, EBITDA, Revenue)
        │
        ▼
Calculate Trading Multiples
(EV/Revenue, EV/EBITDA)
        │
        ▼
Find Mean &amp; Median Multiples
        │
        ▼
Apply Multiples to
OUR Target Company
        │
        ▼
Estimate Enterprise Value
        │
        ▼
Less Debt + Add Cash
        │
        ▼
Equity Value
        │
        ▼
Implied Share Price</t>
  </si>
  <si>
    <t>Given</t>
  </si>
  <si>
    <t>EV to EV</t>
  </si>
  <si>
    <t>Less: Debt</t>
  </si>
  <si>
    <t>Add: Cash</t>
  </si>
  <si>
    <t>Implied Share Price</t>
  </si>
  <si>
    <t>LTM EBITDA</t>
  </si>
  <si>
    <t>Entry Multiple</t>
  </si>
  <si>
    <t>Entry Enterprise Value</t>
  </si>
  <si>
    <t>Existing Debt</t>
  </si>
  <si>
    <t>Equity Purchase Price</t>
  </si>
  <si>
    <t>Holding Period</t>
  </si>
  <si>
    <t>5 Years</t>
  </si>
  <si>
    <t>Exit Multiple</t>
  </si>
  <si>
    <t>8.0x</t>
  </si>
  <si>
    <t>Starting EBITDA Margin</t>
  </si>
  <si>
    <t>Ending EBITDA Margin</t>
  </si>
  <si>
    <t>D&amp;A % Revenue</t>
  </si>
  <si>
    <t>Working Capital % Revenue Growth</t>
  </si>
  <si>
    <t>Uses</t>
  </si>
  <si>
    <t>Transaction Fees</t>
  </si>
  <si>
    <t>Total Uses</t>
  </si>
  <si>
    <t>Source and Uses</t>
  </si>
  <si>
    <t>Sources</t>
  </si>
  <si>
    <t>Sponsor Equity</t>
  </si>
  <si>
    <t>Total Sources</t>
  </si>
  <si>
    <t>Year 0</t>
  </si>
  <si>
    <t>Year 1</t>
  </si>
  <si>
    <t>Year 2</t>
  </si>
  <si>
    <t>Year 3</t>
  </si>
  <si>
    <t>Year 4</t>
  </si>
  <si>
    <t>Year 5</t>
  </si>
  <si>
    <t>Growth %</t>
  </si>
  <si>
    <t>D&amp;A</t>
  </si>
  <si>
    <t>Taxes</t>
  </si>
  <si>
    <t>CapEx</t>
  </si>
  <si>
    <t>Change in Working Capital</t>
  </si>
  <si>
    <t>Free Cash Flow</t>
  </si>
  <si>
    <t>OPERATING FORECAST</t>
  </si>
  <si>
    <t>New Debt</t>
  </si>
  <si>
    <t>DEBT SCHEDULE</t>
  </si>
  <si>
    <t>Debt Schedule</t>
  </si>
  <si>
    <t>Beginning Debt</t>
  </si>
  <si>
    <t>Interest Rate</t>
  </si>
  <si>
    <t>Debt Repayment</t>
  </si>
  <si>
    <t>Ending Debt</t>
  </si>
  <si>
    <t>Exit EBITDA</t>
  </si>
  <si>
    <t>Exit Enterprise Value</t>
  </si>
  <si>
    <t>Less: Ending Debt</t>
  </si>
  <si>
    <t>Exit Equity Value</t>
  </si>
  <si>
    <t>Initial Equity Investment</t>
  </si>
  <si>
    <t>Money Multiple (MoM)</t>
  </si>
  <si>
    <t>IRR</t>
  </si>
  <si>
    <t>SPONSOR RETURNS SECTION</t>
  </si>
  <si>
    <t>Year</t>
  </si>
  <si>
    <t>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</si>
</sst>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"/>
    <numFmt numFmtId="165" formatCode="0.000"/>
    <numFmt numFmtId="171" formatCode="0.00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right"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right" vertical="center" wrapText="1"/>
    </xf>
    <xf numFmtId="0" fontId="0" fillId="8" borderId="0" xfId="0" applyFill="1" applyAlignment="1">
      <alignment vertical="center" wrapText="1"/>
    </xf>
    <xf numFmtId="0" fontId="0" fillId="5" borderId="0" xfId="0" applyFill="1"/>
    <xf numFmtId="0" fontId="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1" fillId="4" borderId="0" xfId="0" applyFont="1" applyFill="1" applyAlignment="1">
      <alignment horizontal="right" vertical="center" wrapText="1"/>
    </xf>
    <xf numFmtId="0" fontId="0" fillId="2" borderId="0" xfId="0" applyFill="1" applyAlignment="1">
      <alignment horizontal="right" vertical="center" wrapText="1"/>
    </xf>
    <xf numFmtId="10" fontId="0" fillId="2" borderId="0" xfId="0" applyNumberFormat="1" applyFill="1" applyAlignment="1">
      <alignment horizontal="right" vertical="center" wrapText="1"/>
    </xf>
    <xf numFmtId="10" fontId="0" fillId="2" borderId="0" xfId="0" applyNumberFormat="1" applyFill="1" applyAlignment="1">
      <alignment vertical="center" wrapText="1"/>
    </xf>
    <xf numFmtId="164" fontId="0" fillId="2" borderId="0" xfId="0" applyNumberFormat="1" applyFill="1" applyAlignment="1">
      <alignment horizontal="right" vertical="center" wrapText="1"/>
    </xf>
    <xf numFmtId="1" fontId="0" fillId="2" borderId="0" xfId="0" applyNumberFormat="1" applyFill="1" applyAlignment="1">
      <alignment horizontal="right" vertical="center" wrapText="1"/>
    </xf>
    <xf numFmtId="9" fontId="0" fillId="2" borderId="0" xfId="2" applyFont="1" applyFill="1" applyAlignment="1">
      <alignment horizontal="right" vertical="center" wrapText="1"/>
    </xf>
    <xf numFmtId="2" fontId="0" fillId="2" borderId="0" xfId="1" applyNumberFormat="1" applyFont="1" applyFill="1"/>
    <xf numFmtId="9" fontId="0" fillId="2" borderId="0" xfId="2" applyFont="1" applyFill="1"/>
    <xf numFmtId="0" fontId="1" fillId="0" borderId="0" xfId="0" applyFont="1" applyAlignment="1">
      <alignment vertical="center" wrapText="1"/>
    </xf>
    <xf numFmtId="2" fontId="0" fillId="0" borderId="0" xfId="0" applyNumberFormat="1" applyAlignment="1">
      <alignment horizontal="right" vertical="center" wrapText="1"/>
    </xf>
    <xf numFmtId="3" fontId="0" fillId="0" borderId="0" xfId="0" applyNumberFormat="1"/>
    <xf numFmtId="3" fontId="0" fillId="0" borderId="0" xfId="0" applyNumberFormat="1" applyAlignment="1">
      <alignment horizontal="right" vertical="center" wrapText="1"/>
    </xf>
    <xf numFmtId="0" fontId="1" fillId="8" borderId="0" xfId="0" applyFont="1" applyFill="1" applyAlignment="1">
      <alignment vertical="center" wrapText="1"/>
    </xf>
    <xf numFmtId="3" fontId="0" fillId="2" borderId="0" xfId="0" applyNumberFormat="1" applyFill="1" applyAlignment="1">
      <alignment horizontal="right" vertical="center" wrapText="1"/>
    </xf>
    <xf numFmtId="0" fontId="0" fillId="2" borderId="0" xfId="0" applyFill="1" applyAlignment="1">
      <alignment vertical="center" wrapText="1"/>
    </xf>
    <xf numFmtId="4" fontId="0" fillId="2" borderId="0" xfId="0" applyNumberFormat="1" applyFill="1" applyAlignment="1">
      <alignment horizontal="right" vertical="center" wrapText="1"/>
    </xf>
    <xf numFmtId="3" fontId="0" fillId="0" borderId="0" xfId="0" applyNumberFormat="1" applyAlignment="1">
      <alignment vertical="center" wrapText="1"/>
    </xf>
    <xf numFmtId="3" fontId="0" fillId="2" borderId="0" xfId="0" applyNumberFormat="1" applyFill="1" applyAlignment="1">
      <alignment vertical="center" wrapText="1"/>
    </xf>
    <xf numFmtId="165" fontId="0" fillId="0" borderId="0" xfId="0" applyNumberFormat="1" applyAlignment="1">
      <alignment horizontal="right" vertical="center" wrapText="1"/>
    </xf>
    <xf numFmtId="3" fontId="1" fillId="2" borderId="0" xfId="0" applyNumberFormat="1" applyFont="1" applyFill="1" applyAlignment="1">
      <alignment horizontal="right" vertical="center" wrapText="1"/>
    </xf>
    <xf numFmtId="2" fontId="0" fillId="2" borderId="0" xfId="0" applyNumberFormat="1" applyFill="1" applyAlignment="1">
      <alignment horizontal="right" vertical="center" wrapText="1"/>
    </xf>
    <xf numFmtId="3" fontId="1" fillId="0" borderId="0" xfId="0" applyNumberFormat="1" applyFont="1" applyAlignment="1">
      <alignment vertical="center" wrapText="1"/>
    </xf>
    <xf numFmtId="3" fontId="0" fillId="2" borderId="0" xfId="0" applyNumberFormat="1" applyFill="1"/>
    <xf numFmtId="3" fontId="0" fillId="0" borderId="0" xfId="0" applyNumberFormat="1" applyAlignment="1">
      <alignment vertical="center"/>
    </xf>
    <xf numFmtId="1" fontId="0" fillId="0" borderId="0" xfId="0" applyNumberFormat="1" applyAlignment="1">
      <alignment horizontal="right" vertical="center" wrapText="1"/>
    </xf>
    <xf numFmtId="2" fontId="0" fillId="0" borderId="0" xfId="0" applyNumberFormat="1"/>
    <xf numFmtId="2" fontId="0" fillId="0" borderId="0" xfId="0" applyNumberFormat="1" applyAlignment="1">
      <alignment vertical="center" wrapText="1"/>
    </xf>
    <xf numFmtId="9" fontId="0" fillId="0" borderId="0" xfId="0" applyNumberFormat="1"/>
    <xf numFmtId="10" fontId="0" fillId="0" borderId="0" xfId="0" applyNumberFormat="1"/>
    <xf numFmtId="2" fontId="0" fillId="2" borderId="0" xfId="0" applyNumberFormat="1" applyFill="1" applyAlignment="1">
      <alignment vertical="center" wrapText="1"/>
    </xf>
    <xf numFmtId="9" fontId="0" fillId="2" borderId="0" xfId="0" applyNumberFormat="1" applyFill="1" applyAlignment="1">
      <alignment vertical="center" wrapText="1"/>
    </xf>
    <xf numFmtId="4" fontId="0" fillId="2" borderId="0" xfId="0" applyNumberFormat="1" applyFill="1" applyAlignment="1">
      <alignment vertical="center" wrapText="1"/>
    </xf>
    <xf numFmtId="4" fontId="0" fillId="2" borderId="0" xfId="0" applyNumberFormat="1" applyFill="1"/>
    <xf numFmtId="0" fontId="8" fillId="0" borderId="0" xfId="3" applyAlignment="1">
      <alignment horizontal="right" vertical="center" wrapText="1"/>
    </xf>
    <xf numFmtId="0" fontId="0" fillId="2" borderId="0" xfId="0" applyFill="1"/>
    <xf numFmtId="0" fontId="0" fillId="0" borderId="0" xfId="0" applyAlignment="1">
      <alignment wrapText="1"/>
    </xf>
    <xf numFmtId="0" fontId="1" fillId="2" borderId="0" xfId="0" applyFont="1" applyFill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0" fontId="3" fillId="2" borderId="0" xfId="0" applyFont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3" fillId="6" borderId="0" xfId="0" applyFont="1" applyFill="1" applyAlignment="1">
      <alignment horizontal="center" wrapText="1"/>
    </xf>
    <xf numFmtId="0" fontId="3" fillId="7" borderId="0" xfId="0" applyFont="1" applyFill="1" applyAlignment="1">
      <alignment horizontal="center"/>
    </xf>
    <xf numFmtId="0" fontId="5" fillId="3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171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9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'ratio analysis'!$A$3</c:f>
              <c:strCache>
                <c:ptCount val="1"/>
                <c:pt idx="0">
                  <c:v>Gross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'ratio analysis'!$B$1:$D$1</c:f>
              <c:strCache>
                <c:ptCount val="3"/>
                <c:pt idx="0">
                  <c:v>FY2024</c:v>
                </c:pt>
                <c:pt idx="1">
                  <c:v>FY2023</c:v>
                </c:pt>
                <c:pt idx="2">
                  <c:v>FY2022</c:v>
                </c:pt>
              </c:strCache>
            </c:strRef>
          </c:cat>
          <c:val>
            <c:numRef>
              <c:f>'ratio analysis'!$B$3:$D$3</c:f>
              <c:numCache>
                <c:formatCode>General</c:formatCode>
                <c:ptCount val="3"/>
                <c:pt idx="0">
                  <c:v>0.61063300822336963</c:v>
                </c:pt>
                <c:pt idx="1">
                  <c:v>0.5952266468505486</c:v>
                </c:pt>
                <c:pt idx="2">
                  <c:v>0.58143428518277374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23-4AB8-82F7-4B82FD25F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994575"/>
        <c:axId val="14621394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'ratio analysis'!$A$2</c15:sqref>
                        </c15:formulaRef>
                      </c:ext>
                    </c:extLst>
                    <c:strCache>
                      <c:ptCount val="1"/>
                      <c:pt idx="0">
                        <c:v>Revenue Growth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'ratio analysis'!$B$1:$D$1</c15:sqref>
                        </c15:formulaRef>
                      </c:ext>
                    </c:extLst>
                    <c:strCache>
                      <c:ptCount val="3"/>
                      <c:pt idx="0">
                        <c:v>FY2024</c:v>
                      </c:pt>
                      <c:pt idx="1">
                        <c:v>FY2023</c:v>
                      </c:pt>
                      <c:pt idx="2">
                        <c:v>FY2022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'ratio analysis'!$B$2:$D$2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-2.8565808453905668E-2</c:v>
                      </c:pt>
                      <c:pt idx="1">
                        <c:v>6.3947539763742914E-2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823-4AB8-82F7-4B82FD25F92F}"/>
                  </c:ext>
                </c:extLst>
              </c15:ser>
            </c15:filteredLineSeries>
          </c:ext>
        </c:extLst>
      </c:lineChart>
      <c:catAx>
        <c:axId val="146899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139439"/>
        <c:crosses val="autoZero"/>
        <c:auto val="1"/>
        <c:lblAlgn val="ctr"/>
        <c:lblOffset val="100"/>
        <c:noMultiLvlLbl val="0"/>
      </c:catAx>
      <c:valAx>
        <c:axId val="1462139439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99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161307001462237E-2"/>
          <c:y val="0.19020520500916821"/>
          <c:w val="0.87929947406440145"/>
          <c:h val="0.57352092611384053"/>
        </c:manualLayout>
      </c:layout>
      <c:lineChart>
        <c:grouping val="standard"/>
        <c:varyColors val="0"/>
        <c:ser>
          <c:idx val="4"/>
          <c:order val="4"/>
          <c:tx>
            <c:strRef>
              <c:f>'ratio analysis'!$A$6</c:f>
              <c:strCache>
                <c:ptCount val="1"/>
                <c:pt idx="0">
                  <c:v>Operating Margin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'ratio analysis'!$B$1:$D$1</c:f>
              <c:strCache>
                <c:ptCount val="3"/>
                <c:pt idx="0">
                  <c:v>FY2024</c:v>
                </c:pt>
                <c:pt idx="1">
                  <c:v>FY2023</c:v>
                </c:pt>
                <c:pt idx="2">
                  <c:v>FY2022</c:v>
                </c:pt>
              </c:strCache>
            </c:strRef>
          </c:cat>
          <c:val>
            <c:numRef>
              <c:f>'ratio analysis'!$B$6:$D$6</c:f>
              <c:numCache>
                <c:formatCode>General</c:formatCode>
                <c:ptCount val="3"/>
                <c:pt idx="0">
                  <c:v>0.21232018019166612</c:v>
                </c:pt>
                <c:pt idx="1">
                  <c:v>0.24721335839489444</c:v>
                </c:pt>
                <c:pt idx="2">
                  <c:v>0.25367407683006232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30-4354-8261-3666DA3B3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2529471"/>
        <c:axId val="194911694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'ratio analysis'!$A$2</c15:sqref>
                        </c15:formulaRef>
                      </c:ext>
                    </c:extLst>
                    <c:strCache>
                      <c:ptCount val="1"/>
                      <c:pt idx="0">
                        <c:v>Revenue Growth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'ratio analysis'!$B$1:$D$1</c15:sqref>
                        </c15:formulaRef>
                      </c:ext>
                    </c:extLst>
                    <c:strCache>
                      <c:ptCount val="3"/>
                      <c:pt idx="0">
                        <c:v>FY2024</c:v>
                      </c:pt>
                      <c:pt idx="1">
                        <c:v>FY2023</c:v>
                      </c:pt>
                      <c:pt idx="2">
                        <c:v>FY2022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'ratio analysis'!$B$2:$D$2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-2.8565808453905668E-2</c:v>
                      </c:pt>
                      <c:pt idx="1">
                        <c:v>6.3947539763742914E-2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C30-4354-8261-3666DA3B35C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analysis'!$A$3</c15:sqref>
                        </c15:formulaRef>
                      </c:ext>
                    </c:extLst>
                    <c:strCache>
                      <c:ptCount val="1"/>
                      <c:pt idx="0">
                        <c:v>Gross Margin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analysis'!$B$1:$D$1</c15:sqref>
                        </c15:formulaRef>
                      </c:ext>
                    </c:extLst>
                    <c:strCache>
                      <c:ptCount val="3"/>
                      <c:pt idx="0">
                        <c:v>FY2024</c:v>
                      </c:pt>
                      <c:pt idx="1">
                        <c:v>FY2023</c:v>
                      </c:pt>
                      <c:pt idx="2">
                        <c:v>FY2022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analysis'!$B$3:$D$3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0.61063300822336963</c:v>
                      </c:pt>
                      <c:pt idx="1">
                        <c:v>0.5952266468505486</c:v>
                      </c:pt>
                      <c:pt idx="2">
                        <c:v>0.58143428518277374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C30-4354-8261-3666DA3B35C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analysis'!$A$4</c15:sqref>
                        </c15:formulaRef>
                      </c:ext>
                    </c:extLst>
                    <c:strCache>
                      <c:ptCount val="1"/>
                      <c:pt idx="0">
                        <c:v>EBITDA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analysis'!$B$1:$D$1</c15:sqref>
                        </c15:formulaRef>
                      </c:ext>
                    </c:extLst>
                    <c:strCache>
                      <c:ptCount val="3"/>
                      <c:pt idx="0">
                        <c:v>FY2024</c:v>
                      </c:pt>
                      <c:pt idx="1">
                        <c:v>FY2023</c:v>
                      </c:pt>
                      <c:pt idx="2">
                        <c:v>FY2022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analysis'!$B$4:$D$4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11067</c:v>
                      </c:pt>
                      <c:pt idx="1">
                        <c:v>12439</c:v>
                      </c:pt>
                      <c:pt idx="2">
                        <c:v>12169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C30-4354-8261-3666DA3B35C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analysis'!$A$5</c15:sqref>
                        </c15:formulaRef>
                      </c:ext>
                    </c:extLst>
                    <c:strCache>
                      <c:ptCount val="1"/>
                      <c:pt idx="0">
                        <c:v>EBITDA Margin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analysis'!$B$1:$D$1</c15:sqref>
                        </c15:formulaRef>
                      </c:ext>
                    </c:extLst>
                    <c:strCache>
                      <c:ptCount val="3"/>
                      <c:pt idx="0">
                        <c:v>FY2024</c:v>
                      </c:pt>
                      <c:pt idx="1">
                        <c:v>FY2023</c:v>
                      </c:pt>
                      <c:pt idx="2">
                        <c:v>FY2022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analysis'!$B$5:$D$5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0.23516287371709058</c:v>
                      </c:pt>
                      <c:pt idx="1">
                        <c:v>0.27186694059535776</c:v>
                      </c:pt>
                      <c:pt idx="2">
                        <c:v>0.28297367686726815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C30-4354-8261-3666DA3B35CE}"/>
                  </c:ext>
                </c:extLst>
              </c15:ser>
            </c15:filteredLineSeries>
          </c:ext>
        </c:extLst>
      </c:lineChart>
      <c:catAx>
        <c:axId val="182252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16943"/>
        <c:crosses val="autoZero"/>
        <c:auto val="1"/>
        <c:lblAlgn val="ctr"/>
        <c:lblOffset val="100"/>
        <c:noMultiLvlLbl val="0"/>
      </c:catAx>
      <c:valAx>
        <c:axId val="1949116943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52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Working</a:t>
            </a:r>
            <a:r>
              <a:rPr lang="en-IN" baseline="0"/>
              <a:t> Capital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'ratio analysis'!$A$8</c:f>
              <c:strCache>
                <c:ptCount val="1"/>
                <c:pt idx="0">
                  <c:v>DSO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'ratio analysis'!$B$1:$D$1</c:f>
              <c:strCache>
                <c:ptCount val="3"/>
                <c:pt idx="0">
                  <c:v>FY2024</c:v>
                </c:pt>
                <c:pt idx="1">
                  <c:v>FY2023</c:v>
                </c:pt>
                <c:pt idx="2">
                  <c:v>FY2022</c:v>
                </c:pt>
              </c:strCache>
            </c:strRef>
          </c:cat>
          <c:val>
            <c:numRef>
              <c:f>'ratio analysis'!$B$8:$D$8</c:f>
              <c:numCache>
                <c:formatCode>General</c:formatCode>
                <c:ptCount val="3"/>
                <c:pt idx="0">
                  <c:v>27.680776014109345</c:v>
                </c:pt>
                <c:pt idx="1">
                  <c:v>28.47149975958386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4E-4D44-9E9C-80951B1553C1}"/>
            </c:ext>
          </c:extLst>
        </c:ser>
        <c:ser>
          <c:idx val="7"/>
          <c:order val="7"/>
          <c:tx>
            <c:strRef>
              <c:f>'ratio analysis'!$A$9</c:f>
              <c:strCache>
                <c:ptCount val="1"/>
                <c:pt idx="0">
                  <c:v>DIO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'ratio analysis'!$B$1:$D$1</c:f>
              <c:strCache>
                <c:ptCount val="3"/>
                <c:pt idx="0">
                  <c:v>FY2024</c:v>
                </c:pt>
                <c:pt idx="1">
                  <c:v>FY2023</c:v>
                </c:pt>
                <c:pt idx="2">
                  <c:v>FY2022</c:v>
                </c:pt>
              </c:strCache>
            </c:strRef>
          </c:cat>
          <c:val>
            <c:numRef>
              <c:f>'ratio analysis'!$B$9:$D$9</c:f>
              <c:numCache>
                <c:formatCode>General</c:formatCode>
                <c:ptCount val="3"/>
                <c:pt idx="0">
                  <c:v>94.1781270464964</c:v>
                </c:pt>
                <c:pt idx="1">
                  <c:v>87.190064794816408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4E-4D44-9E9C-80951B1553C1}"/>
            </c:ext>
          </c:extLst>
        </c:ser>
        <c:ser>
          <c:idx val="8"/>
          <c:order val="8"/>
          <c:tx>
            <c:strRef>
              <c:f>'ratio analysis'!$A$10</c:f>
              <c:strCache>
                <c:ptCount val="1"/>
                <c:pt idx="0">
                  <c:v>DPO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'ratio analysis'!$B$1:$D$1</c:f>
              <c:strCache>
                <c:ptCount val="3"/>
                <c:pt idx="0">
                  <c:v>FY2024</c:v>
                </c:pt>
                <c:pt idx="1">
                  <c:v>FY2023</c:v>
                </c:pt>
                <c:pt idx="2">
                  <c:v>FY2022</c:v>
                </c:pt>
              </c:strCache>
            </c:strRef>
          </c:cat>
          <c:val>
            <c:numRef>
              <c:f>'ratio analysis'!$B$10:$D$10</c:f>
              <c:numCache>
                <c:formatCode>General</c:formatCode>
                <c:ptCount val="3"/>
                <c:pt idx="0">
                  <c:v>432.54611438550535</c:v>
                </c:pt>
                <c:pt idx="1">
                  <c:v>305.18493520518359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4E-4D44-9E9C-80951B155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1716127"/>
        <c:axId val="19491107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'ratio analysis'!$A$2</c15:sqref>
                        </c15:formulaRef>
                      </c:ext>
                    </c:extLst>
                    <c:strCache>
                      <c:ptCount val="1"/>
                      <c:pt idx="0">
                        <c:v>Revenue Growth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'ratio analysis'!$B$1:$D$1</c15:sqref>
                        </c15:formulaRef>
                      </c:ext>
                    </c:extLst>
                    <c:strCache>
                      <c:ptCount val="3"/>
                      <c:pt idx="0">
                        <c:v>FY2024</c:v>
                      </c:pt>
                      <c:pt idx="1">
                        <c:v>FY2023</c:v>
                      </c:pt>
                      <c:pt idx="2">
                        <c:v>FY2022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'ratio analysis'!$B$2:$D$2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-2.8565808453905668E-2</c:v>
                      </c:pt>
                      <c:pt idx="1">
                        <c:v>6.3947539763742914E-2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94E-4D44-9E9C-80951B1553C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analysis'!$A$3</c15:sqref>
                        </c15:formulaRef>
                      </c:ext>
                    </c:extLst>
                    <c:strCache>
                      <c:ptCount val="1"/>
                      <c:pt idx="0">
                        <c:v>Gross Margin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analysis'!$B$1:$D$1</c15:sqref>
                        </c15:formulaRef>
                      </c:ext>
                    </c:extLst>
                    <c:strCache>
                      <c:ptCount val="3"/>
                      <c:pt idx="0">
                        <c:v>FY2024</c:v>
                      </c:pt>
                      <c:pt idx="1">
                        <c:v>FY2023</c:v>
                      </c:pt>
                      <c:pt idx="2">
                        <c:v>FY2022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analysis'!$B$3:$D$3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0.61063300822336963</c:v>
                      </c:pt>
                      <c:pt idx="1">
                        <c:v>0.5952266468505486</c:v>
                      </c:pt>
                      <c:pt idx="2">
                        <c:v>0.58143428518277374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94E-4D44-9E9C-80951B1553C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analysis'!$A$4</c15:sqref>
                        </c15:formulaRef>
                      </c:ext>
                    </c:extLst>
                    <c:strCache>
                      <c:ptCount val="1"/>
                      <c:pt idx="0">
                        <c:v>EBITDA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analysis'!$B$1:$D$1</c15:sqref>
                        </c15:formulaRef>
                      </c:ext>
                    </c:extLst>
                    <c:strCache>
                      <c:ptCount val="3"/>
                      <c:pt idx="0">
                        <c:v>FY2024</c:v>
                      </c:pt>
                      <c:pt idx="1">
                        <c:v>FY2023</c:v>
                      </c:pt>
                      <c:pt idx="2">
                        <c:v>FY2022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analysis'!$B$4:$D$4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11067</c:v>
                      </c:pt>
                      <c:pt idx="1">
                        <c:v>12439</c:v>
                      </c:pt>
                      <c:pt idx="2">
                        <c:v>12169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94E-4D44-9E9C-80951B1553C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analysis'!$A$5</c15:sqref>
                        </c15:formulaRef>
                      </c:ext>
                    </c:extLst>
                    <c:strCache>
                      <c:ptCount val="1"/>
                      <c:pt idx="0">
                        <c:v>EBITDA Margin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analysis'!$B$1:$D$1</c15:sqref>
                        </c15:formulaRef>
                      </c:ext>
                    </c:extLst>
                    <c:strCache>
                      <c:ptCount val="3"/>
                      <c:pt idx="0">
                        <c:v>FY2024</c:v>
                      </c:pt>
                      <c:pt idx="1">
                        <c:v>FY2023</c:v>
                      </c:pt>
                      <c:pt idx="2">
                        <c:v>FY2022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analysis'!$B$5:$D$5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0.23516287371709058</c:v>
                      </c:pt>
                      <c:pt idx="1">
                        <c:v>0.27186694059535776</c:v>
                      </c:pt>
                      <c:pt idx="2">
                        <c:v>0.28297367686726815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94E-4D44-9E9C-80951B1553C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analysis'!$A$6</c15:sqref>
                        </c15:formulaRef>
                      </c:ext>
                    </c:extLst>
                    <c:strCache>
                      <c:ptCount val="1"/>
                      <c:pt idx="0">
                        <c:v>Operating Margin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analysis'!$B$1:$D$1</c15:sqref>
                        </c15:formulaRef>
                      </c:ext>
                    </c:extLst>
                    <c:strCache>
                      <c:ptCount val="3"/>
                      <c:pt idx="0">
                        <c:v>FY2024</c:v>
                      </c:pt>
                      <c:pt idx="1">
                        <c:v>FY2023</c:v>
                      </c:pt>
                      <c:pt idx="2">
                        <c:v>FY2022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analysis'!$B$6:$D$6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0.21232018019166612</c:v>
                      </c:pt>
                      <c:pt idx="1">
                        <c:v>0.24721335839489444</c:v>
                      </c:pt>
                      <c:pt idx="2">
                        <c:v>0.25367407683006232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94E-4D44-9E9C-80951B1553C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analysis'!$A$7</c15:sqref>
                        </c15:formulaRef>
                      </c:ext>
                    </c:extLst>
                    <c:strCache>
                      <c:ptCount val="1"/>
                      <c:pt idx="0">
                        <c:v>Net Margin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analysis'!$B$1:$D$1</c15:sqref>
                        </c15:formulaRef>
                      </c:ext>
                    </c:extLst>
                    <c:strCache>
                      <c:ptCount val="3"/>
                      <c:pt idx="0">
                        <c:v>FY2024</c:v>
                      </c:pt>
                      <c:pt idx="1">
                        <c:v>FY2023</c:v>
                      </c:pt>
                      <c:pt idx="2">
                        <c:v>FY2022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'ratio analysis'!$B$7:$D$7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0.22589830220352308</c:v>
                      </c:pt>
                      <c:pt idx="1">
                        <c:v>0.23416531887922368</c:v>
                      </c:pt>
                      <c:pt idx="2">
                        <c:v>0.22188633615477629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94E-4D44-9E9C-80951B1553C1}"/>
                  </c:ext>
                </c:extLst>
              </c15:ser>
            </c15:filteredLineSeries>
          </c:ext>
        </c:extLst>
      </c:lineChart>
      <c:catAx>
        <c:axId val="196171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10703"/>
        <c:crosses val="autoZero"/>
        <c:auto val="1"/>
        <c:lblAlgn val="ctr"/>
        <c:lblOffset val="100"/>
        <c:noMultiLvlLbl val="0"/>
      </c:catAx>
      <c:valAx>
        <c:axId val="1949110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71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7" Type="http://schemas.openxmlformats.org/officeDocument/2006/relationships/image" Target="../media/image4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339587</xdr:colOff>
      <xdr:row>18</xdr:row>
      <xdr:rowOff>33131</xdr:rowOff>
    </xdr:from>
    <xdr:to>
      <xdr:col>6</xdr:col>
      <xdr:colOff>571500</xdr:colOff>
      <xdr:row>31</xdr:row>
      <xdr:rowOff>66260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3F9818-CCBC-44EE-AD8B-B8C5DB846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132522</xdr:colOff>
      <xdr:row>13</xdr:row>
      <xdr:rowOff>157370</xdr:rowOff>
    </xdr:from>
    <xdr:to>
      <xdr:col>10</xdr:col>
      <xdr:colOff>157370</xdr:colOff>
      <xdr:row>17</xdr:row>
      <xdr:rowOff>66261</xdr:rowOff>
    </xdr:to>
    <xdr:pic>
      <xdr:nvPicPr>
        <xdr:cNvPr id="4" name="Graphic 3" descr="Bar chart with solid fill">
          <a:extLst>
            <a:ext uri="{FF2B5EF4-FFF2-40B4-BE49-F238E27FC236}">
              <a16:creationId xmlns:a16="http://schemas.microsoft.com/office/drawing/2014/main" id="{DDF2DA04-A562-5911-A9F2-2BC60097B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648739" y="1797327"/>
          <a:ext cx="637761" cy="637761"/>
        </a:xfrm>
        <a:prstGeom prst="rect">
          <a:avLst/>
        </a:prstGeom>
      </xdr:spPr>
    </xdr:pic>
    <xdr:clientData/>
  </xdr:twoCellAnchor>
  <xdr:twoCellAnchor>
    <xdr:from>
      <xdr:col>7</xdr:col>
      <xdr:colOff>389281</xdr:colOff>
      <xdr:row>18</xdr:row>
      <xdr:rowOff>24849</xdr:rowOff>
    </xdr:from>
    <xdr:to>
      <xdr:col>14</xdr:col>
      <xdr:colOff>496956</xdr:colOff>
      <xdr:row>31</xdr:row>
      <xdr:rowOff>132521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C38BA7-B6A0-4C30-8E4B-261C7616D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281608</xdr:colOff>
      <xdr:row>17</xdr:row>
      <xdr:rowOff>182216</xdr:rowOff>
    </xdr:from>
    <xdr:to>
      <xdr:col>23</xdr:col>
      <xdr:colOff>41413</xdr:colOff>
      <xdr:row>31</xdr:row>
      <xdr:rowOff>124239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6DBFB4-461B-47EF-88A2-80DF81EE4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215349</xdr:colOff>
      <xdr:row>0</xdr:row>
      <xdr:rowOff>149086</xdr:rowOff>
    </xdr:from>
    <xdr:to>
      <xdr:col>11</xdr:col>
      <xdr:colOff>223632</xdr:colOff>
      <xdr:row>4</xdr:row>
      <xdr:rowOff>41412</xdr:rowOff>
    </xdr:to>
    <xdr:pic>
      <xdr:nvPicPr>
        <xdr:cNvPr id="8" name="Graphic 7" descr="Books on shelf with solid fill">
          <a:extLst>
            <a:ext uri="{FF2B5EF4-FFF2-40B4-BE49-F238E27FC236}">
              <a16:creationId xmlns:a16="http://schemas.microsoft.com/office/drawing/2014/main" id="{B14D0247-11CA-6181-24F8-8DDEB60D5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6344479" y="149086"/>
          <a:ext cx="621196" cy="62119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02EC-33EA-45E6-AC4E-092C2309096A}">
  <dimension ref="A1:D13"/>
  <sheetViews>
    <sheetView tabSelected="1" zoomScale="81" workbookViewId="0">
      <selection activeCell="B9" sqref="B9"/>
    </sheetView>
  </sheetViews>
  <sheetFormatPr defaultRowHeight="14.4" x14ac:dyDescent="0.3"/>
  <cols>
    <col min="1" max="1" width="15.44140625" customWidth="1"/>
    <col min="2" max="2" width="18.44140625" customWidth="1"/>
    <col min="3" max="3" width="16.21875" customWidth="1"/>
    <col min="4" max="4" width="19.5546875" customWidth="1"/>
  </cols>
  <sheetData>
    <row r="1" spans="1:4" ht="43.2" x14ac:dyDescent="0.3">
      <c r="A1" s="5" t="s">
        <v>1</v>
      </c>
      <c r="B1" s="6" t="s">
        <v>2</v>
      </c>
      <c r="C1" s="6" t="s">
        <v>3</v>
      </c>
      <c r="D1" s="6" t="s">
        <v>4</v>
      </c>
    </row>
    <row r="2" spans="1:4" ht="57.6" x14ac:dyDescent="0.3">
      <c r="A2" s="7" t="s">
        <v>5</v>
      </c>
      <c r="B2" s="8">
        <v>47061</v>
      </c>
      <c r="C2" s="8">
        <v>45754</v>
      </c>
      <c r="D2" s="8">
        <v>43004</v>
      </c>
    </row>
    <row r="3" spans="1:4" ht="43.2" x14ac:dyDescent="0.3">
      <c r="A3" s="7" t="s">
        <v>6</v>
      </c>
      <c r="B3" s="8">
        <v>18324</v>
      </c>
      <c r="C3" s="8">
        <v>18520</v>
      </c>
      <c r="D3" s="8">
        <v>18000</v>
      </c>
    </row>
    <row r="4" spans="1:4" ht="28.8" x14ac:dyDescent="0.3">
      <c r="A4" s="7" t="s">
        <v>7</v>
      </c>
      <c r="B4" s="8">
        <v>28737</v>
      </c>
      <c r="C4" s="8">
        <v>27234</v>
      </c>
      <c r="D4" s="8">
        <v>25004</v>
      </c>
    </row>
    <row r="5" spans="1:4" ht="86.4" x14ac:dyDescent="0.3">
      <c r="A5" s="7" t="s">
        <v>8</v>
      </c>
      <c r="B5" s="8">
        <v>14582</v>
      </c>
      <c r="C5" s="8">
        <v>13972</v>
      </c>
      <c r="D5" s="8">
        <v>12880</v>
      </c>
    </row>
    <row r="6" spans="1:4" ht="43.2" x14ac:dyDescent="0.3">
      <c r="A6" s="7" t="s">
        <v>9</v>
      </c>
      <c r="B6" s="8">
        <v>4163</v>
      </c>
      <c r="C6" s="8">
        <v>1951</v>
      </c>
      <c r="D6" s="8">
        <v>1215</v>
      </c>
    </row>
    <row r="7" spans="1:4" ht="28.8" x14ac:dyDescent="0.3">
      <c r="A7" s="7" t="s">
        <v>10</v>
      </c>
      <c r="B7" s="8">
        <v>9992</v>
      </c>
      <c r="C7" s="8">
        <v>11311</v>
      </c>
      <c r="D7" s="8">
        <v>10909</v>
      </c>
    </row>
    <row r="8" spans="1:4" ht="28.8" x14ac:dyDescent="0.3">
      <c r="A8" s="7" t="s">
        <v>11</v>
      </c>
      <c r="B8" s="8">
        <v>988</v>
      </c>
      <c r="C8" s="8">
        <v>907</v>
      </c>
      <c r="D8" s="8">
        <v>449</v>
      </c>
    </row>
    <row r="9" spans="1:4" ht="28.8" x14ac:dyDescent="0.3">
      <c r="A9" s="7" t="s">
        <v>12</v>
      </c>
      <c r="B9" s="8">
        <v>1656</v>
      </c>
      <c r="C9" s="8">
        <v>1527</v>
      </c>
      <c r="D9" s="8">
        <v>882</v>
      </c>
    </row>
    <row r="10" spans="1:4" ht="43.2" x14ac:dyDescent="0.3">
      <c r="A10" s="7" t="s">
        <v>13</v>
      </c>
      <c r="B10" s="8">
        <v>13086</v>
      </c>
      <c r="C10" s="8">
        <v>12952</v>
      </c>
      <c r="D10" s="8">
        <v>11686</v>
      </c>
    </row>
    <row r="11" spans="1:4" ht="28.8" x14ac:dyDescent="0.3">
      <c r="A11" s="7" t="s">
        <v>14</v>
      </c>
      <c r="B11" s="8">
        <v>2437</v>
      </c>
      <c r="C11" s="8">
        <v>2249</v>
      </c>
      <c r="D11" s="8">
        <v>2115</v>
      </c>
    </row>
    <row r="12" spans="1:4" ht="43.2" x14ac:dyDescent="0.3">
      <c r="A12" s="7" t="s">
        <v>0</v>
      </c>
      <c r="B12" s="8">
        <v>10649</v>
      </c>
      <c r="C12" s="8">
        <v>10703</v>
      </c>
      <c r="D12" s="8">
        <v>9571</v>
      </c>
    </row>
    <row r="13" spans="1:4" ht="43.2" x14ac:dyDescent="0.3">
      <c r="A13" s="7" t="s">
        <v>15</v>
      </c>
      <c r="B13" s="8">
        <v>10631</v>
      </c>
      <c r="C13" s="8">
        <v>10714</v>
      </c>
      <c r="D13" s="8">
        <v>9542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DA4A-A895-434D-80A9-C8E9A1702E81}">
  <dimension ref="A1:C14"/>
  <sheetViews>
    <sheetView zoomScale="66" workbookViewId="0">
      <selection activeCell="B12" sqref="B12"/>
    </sheetView>
  </sheetViews>
  <sheetFormatPr defaultRowHeight="14.4" x14ac:dyDescent="0.3"/>
  <cols>
    <col min="1" max="1" width="19" customWidth="1"/>
    <col min="2" max="2" width="20.77734375" customWidth="1"/>
    <col min="3" max="3" width="21.6640625" customWidth="1"/>
  </cols>
  <sheetData>
    <row r="1" spans="1:3" ht="28.8" x14ac:dyDescent="0.3">
      <c r="A1" s="5" t="s">
        <v>16</v>
      </c>
      <c r="B1" s="6" t="s">
        <v>17</v>
      </c>
      <c r="C1" s="6" t="s">
        <v>18</v>
      </c>
    </row>
    <row r="2" spans="1:3" ht="57.6" x14ac:dyDescent="0.3">
      <c r="A2" s="7" t="s">
        <v>19</v>
      </c>
      <c r="B2" s="8">
        <v>10828</v>
      </c>
      <c r="C2" s="8">
        <v>9366</v>
      </c>
    </row>
    <row r="3" spans="1:3" ht="57.6" x14ac:dyDescent="0.3">
      <c r="A3" s="7" t="s">
        <v>20</v>
      </c>
      <c r="B3" s="8">
        <v>2020</v>
      </c>
      <c r="C3" s="8">
        <v>2997</v>
      </c>
    </row>
    <row r="4" spans="1:3" x14ac:dyDescent="0.3">
      <c r="A4" s="7" t="s">
        <v>21</v>
      </c>
      <c r="B4" s="8">
        <v>3569</v>
      </c>
      <c r="C4" s="8">
        <v>3410</v>
      </c>
    </row>
    <row r="5" spans="1:3" x14ac:dyDescent="0.3">
      <c r="A5" s="7" t="s">
        <v>22</v>
      </c>
      <c r="B5" s="8">
        <v>4728</v>
      </c>
      <c r="C5" s="8">
        <v>4424</v>
      </c>
    </row>
    <row r="6" spans="1:3" ht="43.2" x14ac:dyDescent="0.3">
      <c r="A6" s="7" t="s">
        <v>23</v>
      </c>
      <c r="B6" s="8">
        <v>25997</v>
      </c>
      <c r="C6" s="8">
        <v>26732</v>
      </c>
    </row>
    <row r="7" spans="1:3" ht="57.6" x14ac:dyDescent="0.3">
      <c r="A7" s="7" t="s">
        <v>24</v>
      </c>
      <c r="B7" s="8">
        <v>10303</v>
      </c>
      <c r="C7" s="8">
        <v>9236</v>
      </c>
    </row>
    <row r="8" spans="1:3" ht="28.8" x14ac:dyDescent="0.3">
      <c r="A8" s="7" t="s">
        <v>25</v>
      </c>
      <c r="B8" s="8">
        <v>100549</v>
      </c>
      <c r="C8" s="8">
        <v>97703</v>
      </c>
    </row>
    <row r="9" spans="1:3" ht="72" x14ac:dyDescent="0.3">
      <c r="A9" s="7" t="s">
        <v>26</v>
      </c>
      <c r="B9" s="8">
        <v>21715</v>
      </c>
      <c r="C9" s="8">
        <v>15485</v>
      </c>
    </row>
    <row r="10" spans="1:3" ht="43.2" x14ac:dyDescent="0.3">
      <c r="A10" s="7" t="s">
        <v>27</v>
      </c>
      <c r="B10" s="8">
        <v>1499</v>
      </c>
      <c r="C10" s="8">
        <v>4557</v>
      </c>
    </row>
    <row r="11" spans="1:3" ht="72" x14ac:dyDescent="0.3">
      <c r="A11" s="7" t="s">
        <v>28</v>
      </c>
      <c r="B11" s="8">
        <v>648</v>
      </c>
      <c r="C11" s="8">
        <v>1960</v>
      </c>
    </row>
    <row r="12" spans="1:3" x14ac:dyDescent="0.3">
      <c r="A12" s="7" t="s">
        <v>29</v>
      </c>
      <c r="B12" s="8">
        <v>42375</v>
      </c>
      <c r="C12" s="8">
        <v>35547</v>
      </c>
    </row>
    <row r="13" spans="1:3" x14ac:dyDescent="0.3">
      <c r="A13" s="7" t="s">
        <v>30</v>
      </c>
      <c r="B13" s="8">
        <v>74177</v>
      </c>
      <c r="C13" s="8">
        <v>70223</v>
      </c>
    </row>
    <row r="14" spans="1:3" x14ac:dyDescent="0.3">
      <c r="A14" s="7" t="s">
        <v>31</v>
      </c>
      <c r="B14" s="8">
        <v>26372</v>
      </c>
      <c r="C14" s="8">
        <v>27480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BCA2-F5C7-4D12-B09A-D38E704466BB}">
  <dimension ref="A1:D8"/>
  <sheetViews>
    <sheetView zoomScale="59" workbookViewId="0">
      <selection activeCell="C7" sqref="C7"/>
    </sheetView>
  </sheetViews>
  <sheetFormatPr defaultRowHeight="14.4" x14ac:dyDescent="0.3"/>
  <cols>
    <col min="1" max="1" width="19.33203125" customWidth="1"/>
    <col min="2" max="2" width="16" customWidth="1"/>
    <col min="3" max="3" width="14" customWidth="1"/>
    <col min="4" max="4" width="15.88671875" customWidth="1"/>
  </cols>
  <sheetData>
    <row r="1" spans="1:4" ht="28.8" x14ac:dyDescent="0.3">
      <c r="A1" s="5" t="s">
        <v>16</v>
      </c>
      <c r="B1" s="6" t="s">
        <v>17</v>
      </c>
      <c r="C1" s="6" t="s">
        <v>18</v>
      </c>
      <c r="D1" s="6" t="s">
        <v>32</v>
      </c>
    </row>
    <row r="2" spans="1:4" ht="43.2" x14ac:dyDescent="0.3">
      <c r="A2" s="7" t="s">
        <v>0</v>
      </c>
      <c r="B2" s="8">
        <v>10649</v>
      </c>
      <c r="C2" s="8">
        <v>10703</v>
      </c>
      <c r="D2" s="8">
        <v>9571</v>
      </c>
    </row>
    <row r="3" spans="1:4" ht="57.6" x14ac:dyDescent="0.3">
      <c r="A3" s="7" t="s">
        <v>33</v>
      </c>
      <c r="B3" s="8">
        <v>1075</v>
      </c>
      <c r="C3" s="8">
        <v>1128</v>
      </c>
      <c r="D3" s="8">
        <v>1260</v>
      </c>
    </row>
    <row r="4" spans="1:4" ht="86.4" x14ac:dyDescent="0.3">
      <c r="A4" s="7" t="s">
        <v>34</v>
      </c>
      <c r="B4" s="8">
        <v>6805</v>
      </c>
      <c r="C4" s="8">
        <v>11599</v>
      </c>
      <c r="D4" s="8">
        <v>11018</v>
      </c>
    </row>
    <row r="5" spans="1:4" ht="100.8" x14ac:dyDescent="0.3">
      <c r="A5" s="7" t="s">
        <v>35</v>
      </c>
      <c r="B5" s="8">
        <v>-2064</v>
      </c>
      <c r="C5" s="8">
        <v>-1852</v>
      </c>
      <c r="D5" s="8">
        <v>-1484</v>
      </c>
    </row>
    <row r="6" spans="1:4" ht="57.6" x14ac:dyDescent="0.3">
      <c r="A6" s="7" t="s">
        <v>36</v>
      </c>
      <c r="B6" s="8">
        <v>2524</v>
      </c>
      <c r="C6" s="8">
        <v>-3349</v>
      </c>
      <c r="D6" s="8">
        <v>-763</v>
      </c>
    </row>
    <row r="7" spans="1:4" ht="57.6" x14ac:dyDescent="0.3">
      <c r="A7" s="7" t="s">
        <v>37</v>
      </c>
      <c r="B7" s="8">
        <v>-6910</v>
      </c>
      <c r="C7" s="8">
        <v>-8310</v>
      </c>
      <c r="D7" s="8">
        <v>-10250</v>
      </c>
    </row>
    <row r="8" spans="1:4" ht="43.2" x14ac:dyDescent="0.3">
      <c r="A8" s="7" t="s">
        <v>38</v>
      </c>
      <c r="B8" s="8">
        <v>10828</v>
      </c>
      <c r="C8" s="8">
        <v>9366</v>
      </c>
      <c r="D8" s="8">
        <v>9519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7C64-FA00-48C0-AEFD-D27FDD19ACD5}">
  <dimension ref="A1:X31"/>
  <sheetViews>
    <sheetView zoomScale="148" zoomScaleNormal="65" workbookViewId="0">
      <selection activeCell="B8" sqref="B8"/>
    </sheetView>
  </sheetViews>
  <sheetFormatPr defaultRowHeight="14.4" x14ac:dyDescent="0.3"/>
  <cols>
    <col min="1" max="1" width="19.6640625" customWidth="1"/>
    <col min="2" max="2" width="17.6640625" customWidth="1"/>
    <col min="3" max="3" width="18.44140625" customWidth="1"/>
    <col min="4" max="4" width="20" customWidth="1"/>
    <col min="5" max="5" width="51.21875" customWidth="1"/>
  </cols>
  <sheetData>
    <row r="1" spans="1:5" x14ac:dyDescent="0.3">
      <c r="A1" s="5" t="s">
        <v>39</v>
      </c>
      <c r="B1" s="6" t="s">
        <v>17</v>
      </c>
      <c r="C1" s="6" t="s">
        <v>18</v>
      </c>
      <c r="D1" s="6" t="s">
        <v>32</v>
      </c>
      <c r="E1" s="5" t="s">
        <v>40</v>
      </c>
    </row>
    <row r="2" spans="1:5" x14ac:dyDescent="0.3">
      <c r="A2" s="7" t="s">
        <v>41</v>
      </c>
      <c r="B2" s="8">
        <f>('income statement'!C2-'income statement'!B2)/'income statement'!C2</f>
        <v>-2.8565808453905668E-2</v>
      </c>
      <c r="C2" s="8">
        <f>('income statement'!C2-'income statement'!D2)/'income statement'!D2</f>
        <v>6.3947539763742914E-2</v>
      </c>
      <c r="D2" s="8"/>
      <c r="E2" s="7" t="s">
        <v>42</v>
      </c>
    </row>
    <row r="3" spans="1:5" x14ac:dyDescent="0.3">
      <c r="A3" s="7" t="s">
        <v>43</v>
      </c>
      <c r="B3" s="8">
        <f>('income statement'!B2-'income statement'!B3)/'income statement'!B2</f>
        <v>0.61063300822336963</v>
      </c>
      <c r="C3" s="8">
        <f>('income statement'!C2-'income statement'!C3)/'income statement'!C2</f>
        <v>0.5952266468505486</v>
      </c>
      <c r="D3" s="8">
        <f>('income statement'!D2-'income statement'!D3)/'income statement'!D2</f>
        <v>0.58143428518277374</v>
      </c>
      <c r="E3" s="7" t="s">
        <v>44</v>
      </c>
    </row>
    <row r="4" spans="1:5" x14ac:dyDescent="0.3">
      <c r="A4" s="7" t="s">
        <v>45</v>
      </c>
      <c r="B4" s="8">
        <f>'income statement'!B7+'cash flow'!B3</f>
        <v>11067</v>
      </c>
      <c r="C4" s="8">
        <f>'income statement'!C7+'cash flow'!C3</f>
        <v>12439</v>
      </c>
      <c r="D4" s="8">
        <f>'income statement'!D7+'cash flow'!D3</f>
        <v>12169</v>
      </c>
      <c r="E4" s="7" t="s">
        <v>46</v>
      </c>
    </row>
    <row r="5" spans="1:5" ht="28.8" x14ac:dyDescent="0.3">
      <c r="A5" s="7" t="s">
        <v>47</v>
      </c>
      <c r="B5" s="8">
        <f>B4/'income statement'!B2</f>
        <v>0.23516287371709058</v>
      </c>
      <c r="C5" s="8">
        <f>C4/'income statement'!C2</f>
        <v>0.27186694059535776</v>
      </c>
      <c r="D5" s="8">
        <f>D4/'income statement'!D2</f>
        <v>0.28297367686726815</v>
      </c>
      <c r="E5" s="7" t="s">
        <v>48</v>
      </c>
    </row>
    <row r="6" spans="1:5" x14ac:dyDescent="0.3">
      <c r="A6" s="7" t="s">
        <v>49</v>
      </c>
      <c r="B6" s="8">
        <f>'income statement'!B7/'income statement'!B2</f>
        <v>0.21232018019166612</v>
      </c>
      <c r="C6" s="8">
        <f>'income statement'!C7/'income statement'!C2</f>
        <v>0.24721335839489444</v>
      </c>
      <c r="D6" s="8">
        <f>'income statement'!D7/'income statement'!D2</f>
        <v>0.25367407683006232</v>
      </c>
      <c r="E6" s="7" t="s">
        <v>50</v>
      </c>
    </row>
    <row r="7" spans="1:5" ht="43.2" x14ac:dyDescent="0.3">
      <c r="A7" s="7" t="s">
        <v>51</v>
      </c>
      <c r="B7" s="8">
        <f>'income statement'!B13/'income statement'!B2</f>
        <v>0.22589830220352308</v>
      </c>
      <c r="C7" s="8">
        <f>'income statement'!C13/'income statement'!C2</f>
        <v>0.23416531887922368</v>
      </c>
      <c r="D7" s="8">
        <f>'income statement'!D13/'income statement'!D2</f>
        <v>0.22188633615477629</v>
      </c>
      <c r="E7" s="7" t="s">
        <v>52</v>
      </c>
    </row>
    <row r="8" spans="1:5" x14ac:dyDescent="0.3">
      <c r="A8" s="7" t="s">
        <v>53</v>
      </c>
      <c r="B8" s="8">
        <f>('balance sheet'!B4/'income statement'!B2)*365</f>
        <v>27.680776014109345</v>
      </c>
      <c r="C8" s="8">
        <f>('balance sheet'!B4/'income statement'!C2)*365</f>
        <v>28.47149975958386</v>
      </c>
      <c r="D8" s="8"/>
      <c r="E8" s="7" t="s">
        <v>54</v>
      </c>
    </row>
    <row r="9" spans="1:5" x14ac:dyDescent="0.3">
      <c r="A9" s="7" t="s">
        <v>55</v>
      </c>
      <c r="B9" s="8">
        <f>('balance sheet'!B5/'income statement'!B3)*365</f>
        <v>94.1781270464964</v>
      </c>
      <c r="C9" s="8">
        <f>('balance sheet'!C5/'income statement'!C3)*365</f>
        <v>87.190064794816408</v>
      </c>
      <c r="D9" s="8"/>
      <c r="E9" s="7" t="s">
        <v>56</v>
      </c>
    </row>
    <row r="10" spans="1:5" x14ac:dyDescent="0.3">
      <c r="A10" s="7" t="s">
        <v>57</v>
      </c>
      <c r="B10" s="8">
        <f>('balance sheet'!B9/'income statement'!B3)*365</f>
        <v>432.54611438550535</v>
      </c>
      <c r="C10" s="8">
        <f>('balance sheet'!C9/'income statement'!C3)*365</f>
        <v>305.18493520518359</v>
      </c>
      <c r="D10" s="8"/>
      <c r="E10" s="7" t="s">
        <v>58</v>
      </c>
    </row>
    <row r="11" spans="1:5" ht="28.8" x14ac:dyDescent="0.3">
      <c r="A11" s="7" t="s">
        <v>59</v>
      </c>
      <c r="B11" s="8">
        <f>ABS('cash flow'!B5)/'income statement'!B2</f>
        <v>4.3857971568814942E-2</v>
      </c>
      <c r="C11" s="8">
        <f>ABS('cash flow'!C5)/'income statement'!C2</f>
        <v>4.0477335314945143E-2</v>
      </c>
      <c r="D11" s="8"/>
      <c r="E11" s="7" t="s">
        <v>60</v>
      </c>
    </row>
    <row r="12" spans="1:5" ht="28.8" x14ac:dyDescent="0.3">
      <c r="A12" s="7" t="s">
        <v>61</v>
      </c>
      <c r="B12" s="8">
        <f>('balance sheet'!B10+'balance sheet'!B12)/'ratio analysis'!B4</f>
        <v>3.9643986626908827</v>
      </c>
      <c r="C12" s="8">
        <f>('balance sheet'!B10+'balance sheet'!B12)/'ratio analysis'!C4</f>
        <v>3.5271324061419729</v>
      </c>
      <c r="D12" s="8"/>
      <c r="E12" s="7" t="s">
        <v>62</v>
      </c>
    </row>
    <row r="20" spans="20:24" x14ac:dyDescent="0.3">
      <c r="T20" s="2"/>
      <c r="U20" s="4"/>
      <c r="V20" s="4"/>
      <c r="W20" s="4"/>
      <c r="X20" s="2"/>
    </row>
    <row r="21" spans="20:24" x14ac:dyDescent="0.3">
      <c r="T21" s="1"/>
      <c r="U21" s="3"/>
      <c r="V21" s="3"/>
      <c r="W21" s="3"/>
      <c r="X21" s="1"/>
    </row>
    <row r="22" spans="20:24" x14ac:dyDescent="0.3">
      <c r="T22" s="1"/>
      <c r="U22" s="3"/>
      <c r="V22" s="3"/>
      <c r="W22" s="3"/>
      <c r="X22" s="1"/>
    </row>
    <row r="23" spans="20:24" x14ac:dyDescent="0.3">
      <c r="T23" s="1"/>
      <c r="U23" s="3"/>
      <c r="V23" s="3"/>
      <c r="W23" s="3"/>
      <c r="X23" s="1"/>
    </row>
    <row r="24" spans="20:24" x14ac:dyDescent="0.3">
      <c r="T24" s="1"/>
      <c r="U24" s="3"/>
      <c r="V24" s="3"/>
      <c r="W24" s="3"/>
      <c r="X24" s="1"/>
    </row>
    <row r="25" spans="20:24" x14ac:dyDescent="0.3">
      <c r="T25" s="1"/>
      <c r="U25" s="3"/>
      <c r="V25" s="3"/>
      <c r="W25" s="3"/>
      <c r="X25" s="1"/>
    </row>
    <row r="26" spans="20:24" x14ac:dyDescent="0.3">
      <c r="T26" s="1"/>
      <c r="U26" s="3"/>
      <c r="V26" s="3"/>
      <c r="W26" s="3"/>
      <c r="X26" s="1"/>
    </row>
    <row r="27" spans="20:24" x14ac:dyDescent="0.3">
      <c r="T27" s="1"/>
      <c r="U27" s="3"/>
      <c r="V27" s="3"/>
      <c r="W27" s="3"/>
      <c r="X27" s="1"/>
    </row>
    <row r="28" spans="20:24" x14ac:dyDescent="0.3">
      <c r="T28" s="1"/>
      <c r="U28" s="3"/>
      <c r="V28" s="3"/>
      <c r="W28" s="3"/>
      <c r="X28" s="1"/>
    </row>
    <row r="29" spans="20:24" x14ac:dyDescent="0.3">
      <c r="T29" s="1"/>
      <c r="U29" s="3"/>
      <c r="V29" s="3"/>
      <c r="W29" s="3"/>
      <c r="X29" s="1"/>
    </row>
    <row r="30" spans="20:24" x14ac:dyDescent="0.3">
      <c r="T30" s="1"/>
      <c r="U30" s="3"/>
      <c r="V30" s="3"/>
      <c r="W30" s="3"/>
      <c r="X30" s="1"/>
    </row>
    <row r="31" spans="20:24" x14ac:dyDescent="0.3">
      <c r="T31" s="1"/>
      <c r="U31" s="3"/>
      <c r="V31" s="3"/>
      <c r="W31" s="3"/>
      <c r="X3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B117-8C9D-43EA-AF65-33E0ECD71811}">
  <dimension ref="A1:Z17"/>
  <sheetViews>
    <sheetView showGridLines="0" zoomScale="92" workbookViewId="0">
      <selection activeCell="X24" sqref="X24"/>
    </sheetView>
  </sheetViews>
  <sheetFormatPr defaultRowHeight="14.4" x14ac:dyDescent="0.3"/>
  <sheetData>
    <row r="1" spans="1:26" x14ac:dyDescent="0.3">
      <c r="A1" s="55" t="s">
        <v>74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x14ac:dyDescent="0.3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x14ac:dyDescent="0.3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x14ac:dyDescent="0.3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4.4" customHeight="1" x14ac:dyDescent="0.3">
      <c r="A5" s="52" t="s">
        <v>65</v>
      </c>
      <c r="B5" s="61"/>
      <c r="C5" s="61"/>
      <c r="D5" s="61"/>
      <c r="E5" s="61"/>
      <c r="F5" s="59" t="s">
        <v>64</v>
      </c>
      <c r="G5" s="59"/>
      <c r="H5" s="59"/>
      <c r="I5" s="59"/>
      <c r="J5" s="59"/>
      <c r="K5" s="58" t="s">
        <v>67</v>
      </c>
      <c r="L5" s="58"/>
      <c r="M5" s="58"/>
      <c r="N5" s="58"/>
      <c r="O5" s="58"/>
      <c r="P5" s="59" t="s">
        <v>69</v>
      </c>
      <c r="Q5" s="59"/>
      <c r="R5" s="59"/>
      <c r="S5" s="59"/>
      <c r="T5" s="59"/>
      <c r="U5" s="52" t="s">
        <v>71</v>
      </c>
      <c r="V5" s="52"/>
      <c r="W5" s="52"/>
      <c r="X5" s="52"/>
      <c r="Y5" s="52"/>
    </row>
    <row r="6" spans="1:26" ht="14.4" customHeight="1" x14ac:dyDescent="0.3">
      <c r="A6" s="61"/>
      <c r="B6" s="61"/>
      <c r="C6" s="61"/>
      <c r="D6" s="61"/>
      <c r="E6" s="61"/>
      <c r="F6" s="59"/>
      <c r="G6" s="59"/>
      <c r="H6" s="59"/>
      <c r="I6" s="59"/>
      <c r="J6" s="59"/>
      <c r="K6" s="58"/>
      <c r="L6" s="58"/>
      <c r="M6" s="58"/>
      <c r="N6" s="58"/>
      <c r="O6" s="58"/>
      <c r="P6" s="59"/>
      <c r="Q6" s="59"/>
      <c r="R6" s="59"/>
      <c r="S6" s="59"/>
      <c r="T6" s="59"/>
      <c r="U6" s="52"/>
      <c r="V6" s="52"/>
      <c r="W6" s="52"/>
      <c r="X6" s="52"/>
      <c r="Y6" s="52"/>
    </row>
    <row r="7" spans="1:26" ht="14.4" customHeight="1" x14ac:dyDescent="0.3">
      <c r="A7" s="61"/>
      <c r="B7" s="61"/>
      <c r="C7" s="61"/>
      <c r="D7" s="61"/>
      <c r="E7" s="61"/>
      <c r="F7" s="59"/>
      <c r="G7" s="59"/>
      <c r="H7" s="59"/>
      <c r="I7" s="59"/>
      <c r="J7" s="59"/>
      <c r="K7" s="58"/>
      <c r="L7" s="58"/>
      <c r="M7" s="58"/>
      <c r="N7" s="58"/>
      <c r="O7" s="58"/>
      <c r="P7" s="59"/>
      <c r="Q7" s="59"/>
      <c r="R7" s="59"/>
      <c r="S7" s="59"/>
      <c r="T7" s="59"/>
      <c r="U7" s="52"/>
      <c r="V7" s="52"/>
      <c r="W7" s="52"/>
      <c r="X7" s="52"/>
      <c r="Y7" s="52"/>
    </row>
    <row r="8" spans="1:26" ht="14.4" customHeight="1" x14ac:dyDescent="0.3">
      <c r="A8" s="61"/>
      <c r="B8" s="61"/>
      <c r="C8" s="61"/>
      <c r="D8" s="61"/>
      <c r="E8" s="61"/>
      <c r="F8" s="59"/>
      <c r="G8" s="59"/>
      <c r="H8" s="59"/>
      <c r="I8" s="59"/>
      <c r="J8" s="59"/>
      <c r="K8" s="58"/>
      <c r="L8" s="58"/>
      <c r="M8" s="58"/>
      <c r="N8" s="58"/>
      <c r="O8" s="58"/>
      <c r="P8" s="59"/>
      <c r="Q8" s="59"/>
      <c r="R8" s="59"/>
      <c r="S8" s="59"/>
      <c r="T8" s="59"/>
      <c r="U8" s="52"/>
      <c r="V8" s="52"/>
      <c r="W8" s="52"/>
      <c r="X8" s="52"/>
      <c r="Y8" s="52"/>
    </row>
    <row r="9" spans="1:26" ht="14.4" customHeight="1" x14ac:dyDescent="0.3">
      <c r="A9" s="56" t="s">
        <v>63</v>
      </c>
      <c r="B9" s="56"/>
      <c r="C9" s="56"/>
      <c r="D9" s="56"/>
      <c r="E9" s="56"/>
      <c r="F9" s="57" t="s">
        <v>66</v>
      </c>
      <c r="G9" s="57"/>
      <c r="H9" s="57"/>
      <c r="I9" s="57"/>
      <c r="J9" s="57"/>
      <c r="K9" s="53" t="s">
        <v>68</v>
      </c>
      <c r="L9" s="53"/>
      <c r="M9" s="53"/>
      <c r="N9" s="53"/>
      <c r="O9" s="53"/>
      <c r="P9" s="60" t="s">
        <v>70</v>
      </c>
      <c r="Q9" s="60"/>
      <c r="R9" s="60"/>
      <c r="S9" s="60"/>
      <c r="T9" s="60"/>
      <c r="U9" s="53" t="s">
        <v>72</v>
      </c>
      <c r="V9" s="53"/>
      <c r="W9" s="53"/>
      <c r="X9" s="53"/>
      <c r="Y9" s="53"/>
    </row>
    <row r="10" spans="1:26" ht="14.4" customHeight="1" x14ac:dyDescent="0.3">
      <c r="A10" s="56"/>
      <c r="B10" s="56"/>
      <c r="C10" s="56"/>
      <c r="D10" s="56"/>
      <c r="E10" s="56"/>
      <c r="F10" s="57"/>
      <c r="G10" s="57"/>
      <c r="H10" s="57"/>
      <c r="I10" s="57"/>
      <c r="J10" s="57"/>
      <c r="K10" s="53"/>
      <c r="L10" s="53"/>
      <c r="M10" s="53"/>
      <c r="N10" s="53"/>
      <c r="O10" s="53"/>
      <c r="P10" s="60"/>
      <c r="Q10" s="60"/>
      <c r="R10" s="60"/>
      <c r="S10" s="60"/>
      <c r="T10" s="60"/>
      <c r="U10" s="53"/>
      <c r="V10" s="53"/>
      <c r="W10" s="53"/>
      <c r="X10" s="53"/>
      <c r="Y10" s="53"/>
    </row>
    <row r="11" spans="1:26" ht="14.4" customHeight="1" x14ac:dyDescent="0.3">
      <c r="A11" s="56"/>
      <c r="B11" s="56"/>
      <c r="C11" s="56"/>
      <c r="D11" s="56"/>
      <c r="E11" s="56"/>
      <c r="F11" s="57"/>
      <c r="G11" s="57"/>
      <c r="H11" s="57"/>
      <c r="I11" s="57"/>
      <c r="J11" s="57"/>
      <c r="K11" s="53"/>
      <c r="L11" s="53"/>
      <c r="M11" s="53"/>
      <c r="N11" s="53"/>
      <c r="O11" s="53"/>
      <c r="P11" s="60"/>
      <c r="Q11" s="60"/>
      <c r="R11" s="60"/>
      <c r="S11" s="60"/>
      <c r="T11" s="60"/>
      <c r="U11" s="53"/>
      <c r="V11" s="53"/>
      <c r="W11" s="53"/>
      <c r="X11" s="53"/>
      <c r="Y11" s="53"/>
    </row>
    <row r="12" spans="1:26" ht="14.4" customHeight="1" x14ac:dyDescent="0.3">
      <c r="A12" s="56"/>
      <c r="B12" s="56"/>
      <c r="C12" s="56"/>
      <c r="D12" s="56"/>
      <c r="E12" s="56"/>
      <c r="F12" s="57"/>
      <c r="G12" s="57"/>
      <c r="H12" s="57"/>
      <c r="I12" s="57"/>
      <c r="J12" s="57"/>
      <c r="K12" s="53"/>
      <c r="L12" s="53"/>
      <c r="M12" s="53"/>
      <c r="N12" s="53"/>
      <c r="O12" s="53"/>
      <c r="P12" s="60"/>
      <c r="Q12" s="60"/>
      <c r="R12" s="60"/>
      <c r="S12" s="60"/>
      <c r="T12" s="60"/>
      <c r="U12" s="53"/>
      <c r="V12" s="53"/>
      <c r="W12" s="53"/>
      <c r="X12" s="53"/>
      <c r="Y12" s="53"/>
    </row>
    <row r="13" spans="1:26" ht="14.4" customHeight="1" x14ac:dyDescent="0.3">
      <c r="A13" s="56"/>
      <c r="B13" s="56"/>
      <c r="C13" s="56"/>
      <c r="D13" s="56"/>
      <c r="E13" s="56"/>
      <c r="F13" s="57"/>
      <c r="G13" s="57"/>
      <c r="H13" s="57"/>
      <c r="I13" s="57"/>
      <c r="J13" s="57"/>
      <c r="K13" s="53"/>
      <c r="L13" s="53"/>
      <c r="M13" s="53"/>
      <c r="N13" s="53"/>
      <c r="O13" s="53"/>
      <c r="P13" s="60"/>
      <c r="Q13" s="60"/>
      <c r="R13" s="60"/>
      <c r="S13" s="60"/>
      <c r="T13" s="60"/>
      <c r="U13" s="53"/>
      <c r="V13" s="53"/>
      <c r="W13" s="53"/>
      <c r="X13" s="53"/>
      <c r="Y13" s="53"/>
    </row>
    <row r="14" spans="1:26" ht="14.4" customHeight="1" x14ac:dyDescent="0.3">
      <c r="A14" s="56"/>
      <c r="B14" s="56"/>
      <c r="C14" s="56"/>
      <c r="D14" s="56"/>
      <c r="E14" s="56"/>
      <c r="F14" s="57"/>
      <c r="G14" s="57"/>
      <c r="H14" s="57"/>
      <c r="I14" s="57"/>
      <c r="J14" s="57"/>
      <c r="K14" s="53"/>
      <c r="L14" s="53"/>
      <c r="M14" s="53"/>
      <c r="N14" s="53"/>
      <c r="O14" s="53"/>
      <c r="P14" s="60"/>
      <c r="Q14" s="60"/>
      <c r="R14" s="60"/>
      <c r="S14" s="60"/>
      <c r="T14" s="60"/>
      <c r="U14" s="53"/>
      <c r="V14" s="53"/>
      <c r="W14" s="53"/>
      <c r="X14" s="53"/>
      <c r="Y14" s="53"/>
    </row>
    <row r="15" spans="1:26" x14ac:dyDescent="0.3">
      <c r="A15" s="54" t="s">
        <v>73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</row>
    <row r="16" spans="1:26" x14ac:dyDescent="0.3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</row>
    <row r="17" spans="1:25" x14ac:dyDescent="0.3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</row>
  </sheetData>
  <mergeCells count="12">
    <mergeCell ref="U5:Y8"/>
    <mergeCell ref="U9:Y14"/>
    <mergeCell ref="A15:Y17"/>
    <mergeCell ref="A1:Z4"/>
    <mergeCell ref="A9:E14"/>
    <mergeCell ref="F9:J14"/>
    <mergeCell ref="K5:O8"/>
    <mergeCell ref="K9:O14"/>
    <mergeCell ref="P5:T8"/>
    <mergeCell ref="P9:T14"/>
    <mergeCell ref="A5:E8"/>
    <mergeCell ref="F5:J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4C2D-5163-4BA2-A7B6-7672503555C7}">
  <dimension ref="A1:M18"/>
  <sheetViews>
    <sheetView zoomScale="141" workbookViewId="0">
      <selection activeCell="D2" sqref="D2"/>
    </sheetView>
  </sheetViews>
  <sheetFormatPr defaultRowHeight="14.4" x14ac:dyDescent="0.3"/>
  <cols>
    <col min="1" max="1" width="17.33203125" customWidth="1"/>
    <col min="2" max="2" width="12.5546875" customWidth="1"/>
    <col min="3" max="3" width="13" customWidth="1"/>
    <col min="4" max="4" width="12.77734375" customWidth="1"/>
    <col min="5" max="5" width="11.6640625" bestFit="1" customWidth="1"/>
    <col min="6" max="7" width="11.88671875" bestFit="1" customWidth="1"/>
  </cols>
  <sheetData>
    <row r="1" spans="1:13" x14ac:dyDescent="0.3">
      <c r="A1" s="5" t="s">
        <v>39</v>
      </c>
      <c r="B1" s="6" t="s">
        <v>32</v>
      </c>
      <c r="C1" s="6" t="s">
        <v>18</v>
      </c>
      <c r="D1" s="6" t="s">
        <v>17</v>
      </c>
      <c r="E1" s="6" t="s">
        <v>75</v>
      </c>
      <c r="F1" s="6" t="s">
        <v>76</v>
      </c>
      <c r="G1" s="6" t="s">
        <v>77</v>
      </c>
    </row>
    <row r="2" spans="1:13" ht="19.2" customHeight="1" x14ac:dyDescent="0.3">
      <c r="A2" s="9" t="s">
        <v>78</v>
      </c>
      <c r="B2" s="8">
        <v>43004</v>
      </c>
      <c r="C2" s="8">
        <v>45754</v>
      </c>
      <c r="D2" s="8">
        <v>47061</v>
      </c>
      <c r="E2" s="8">
        <f>D2*(1+4/100)</f>
        <v>48943.44</v>
      </c>
      <c r="F2" s="8">
        <f>E2*(1+4/100)</f>
        <v>50901.177600000003</v>
      </c>
      <c r="G2" s="8">
        <f>F2*(1+4/100)</f>
        <v>52937.224704000007</v>
      </c>
    </row>
    <row r="3" spans="1:13" ht="15" customHeight="1" x14ac:dyDescent="0.3">
      <c r="A3" s="9" t="s">
        <v>41</v>
      </c>
      <c r="B3" s="8"/>
      <c r="C3" s="8">
        <v>6.3947539763742914E-2</v>
      </c>
      <c r="D3" s="8">
        <v>-2.8565808453905668E-2</v>
      </c>
      <c r="E3" s="8">
        <v>1.7690865654918623E-2</v>
      </c>
      <c r="F3" s="8">
        <v>1.7690865654918623E-2</v>
      </c>
      <c r="G3" s="8">
        <v>1.7690865654918623E-2</v>
      </c>
    </row>
    <row r="4" spans="1:13" ht="17.399999999999999" customHeight="1" x14ac:dyDescent="0.3">
      <c r="A4" s="9" t="s">
        <v>43</v>
      </c>
      <c r="B4" s="8">
        <v>0.58143428518277374</v>
      </c>
      <c r="C4" s="8">
        <v>0.5952266468505486</v>
      </c>
      <c r="D4" s="8">
        <v>0.61063300822336963</v>
      </c>
      <c r="E4" s="8">
        <v>0.626039369596191</v>
      </c>
      <c r="F4" s="8">
        <v>0.64144573096901203</v>
      </c>
      <c r="G4" s="8">
        <v>0.65685209234183295</v>
      </c>
    </row>
    <row r="5" spans="1:13" ht="17.399999999999999" customHeight="1" x14ac:dyDescent="0.3">
      <c r="A5" s="9" t="s">
        <v>7</v>
      </c>
      <c r="B5" s="10">
        <v>25004</v>
      </c>
      <c r="C5" s="10">
        <v>27234</v>
      </c>
      <c r="D5" s="10">
        <v>28737</v>
      </c>
      <c r="E5" s="8">
        <f>E2*D4</f>
        <v>29886.48</v>
      </c>
      <c r="F5" s="8">
        <f>F2*F4</f>
        <v>32650.343072815504</v>
      </c>
      <c r="G5" s="8">
        <f>G2*G4</f>
        <v>34771.926809592173</v>
      </c>
    </row>
    <row r="6" spans="1:13" ht="17.399999999999999" customHeight="1" x14ac:dyDescent="0.3">
      <c r="A6" s="9" t="s">
        <v>49</v>
      </c>
      <c r="B6" s="8">
        <v>0.25367407683006199</v>
      </c>
      <c r="C6" s="8">
        <v>0.24721335839489444</v>
      </c>
      <c r="D6" s="8">
        <v>0.21232018019166612</v>
      </c>
      <c r="E6" s="8">
        <v>0.19638197516714501</v>
      </c>
      <c r="F6" s="8">
        <v>0.175705026847947</v>
      </c>
      <c r="G6" s="8">
        <v>0.155028078528749</v>
      </c>
    </row>
    <row r="7" spans="1:13" ht="18.600000000000001" customHeight="1" x14ac:dyDescent="0.3">
      <c r="A7" s="9" t="s">
        <v>10</v>
      </c>
      <c r="B7" s="8">
        <v>10909</v>
      </c>
      <c r="C7" s="8">
        <v>11311</v>
      </c>
      <c r="D7" s="8">
        <v>9992</v>
      </c>
      <c r="E7" s="8">
        <v>9820.3333333333303</v>
      </c>
      <c r="F7" s="8">
        <v>9361.8333333333303</v>
      </c>
      <c r="G7" s="8">
        <v>8903.3333333333303</v>
      </c>
      <c r="I7" s="3"/>
      <c r="J7" s="3"/>
      <c r="K7" s="3"/>
    </row>
    <row r="8" spans="1:13" ht="18.600000000000001" customHeight="1" x14ac:dyDescent="0.3">
      <c r="A8" s="9" t="s">
        <v>51</v>
      </c>
      <c r="B8" s="10">
        <v>0.22188633615477629</v>
      </c>
      <c r="C8" s="10">
        <v>0.23416531887922368</v>
      </c>
      <c r="D8" s="10">
        <v>0.22589830220352308</v>
      </c>
      <c r="E8" s="10">
        <v>0.23132861846125399</v>
      </c>
      <c r="F8" s="10">
        <v>0.23333460148562801</v>
      </c>
      <c r="G8" s="10">
        <v>0.23534058451000101</v>
      </c>
      <c r="I8" s="3"/>
      <c r="J8" s="3"/>
      <c r="K8" s="3"/>
    </row>
    <row r="9" spans="1:13" x14ac:dyDescent="0.3">
      <c r="A9" s="9" t="s">
        <v>79</v>
      </c>
      <c r="B9" s="8">
        <v>9542</v>
      </c>
      <c r="C9" s="8">
        <v>10714</v>
      </c>
      <c r="D9" s="8">
        <v>10631</v>
      </c>
      <c r="E9" s="8">
        <v>11384.666666666701</v>
      </c>
      <c r="F9" s="8">
        <v>11929.166666666701</v>
      </c>
      <c r="G9" s="8">
        <v>12473.666666666701</v>
      </c>
      <c r="I9" s="3"/>
      <c r="J9" s="3"/>
      <c r="K9" s="3"/>
      <c r="L9" s="3"/>
      <c r="M9" s="3"/>
    </row>
    <row r="10" spans="1:13" x14ac:dyDescent="0.3">
      <c r="I10" s="3"/>
      <c r="J10" s="3"/>
      <c r="K10" s="3"/>
    </row>
    <row r="11" spans="1:13" x14ac:dyDescent="0.3">
      <c r="I11" s="3"/>
      <c r="J11" s="3"/>
      <c r="K11" s="3"/>
    </row>
    <row r="12" spans="1:13" x14ac:dyDescent="0.3">
      <c r="I12" s="3"/>
      <c r="J12" s="3"/>
      <c r="K12" s="1"/>
    </row>
    <row r="13" spans="1:13" x14ac:dyDescent="0.3">
      <c r="K13" s="1"/>
    </row>
    <row r="14" spans="1:13" x14ac:dyDescent="0.3">
      <c r="K14" s="1"/>
    </row>
    <row r="15" spans="1:13" x14ac:dyDescent="0.3">
      <c r="K15" s="1"/>
    </row>
    <row r="16" spans="1:13" x14ac:dyDescent="0.3">
      <c r="K16" s="1"/>
    </row>
    <row r="17" spans="11:11" x14ac:dyDescent="0.3">
      <c r="K17" s="1"/>
    </row>
    <row r="18" spans="11:11" x14ac:dyDescent="0.3">
      <c r="K18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F14A-7FB9-4518-A5C6-E41701A00B7C}">
  <dimension ref="A1:F11"/>
  <sheetViews>
    <sheetView zoomScale="156" workbookViewId="0">
      <selection activeCell="B2" sqref="B2:F8"/>
    </sheetView>
  </sheetViews>
  <sheetFormatPr defaultRowHeight="14.4" x14ac:dyDescent="0.3"/>
  <cols>
    <col min="1" max="1" width="11.77734375" bestFit="1" customWidth="1"/>
  </cols>
  <sheetData>
    <row r="1" spans="1:6" x14ac:dyDescent="0.3">
      <c r="A1" s="11" t="s">
        <v>80</v>
      </c>
      <c r="B1" s="13" t="s">
        <v>81</v>
      </c>
      <c r="C1" s="13" t="s">
        <v>82</v>
      </c>
      <c r="D1" s="13" t="s">
        <v>83</v>
      </c>
      <c r="E1" s="13" t="s">
        <v>84</v>
      </c>
      <c r="F1" s="13" t="s">
        <v>85</v>
      </c>
    </row>
    <row r="2" spans="1:6" ht="28.8" x14ac:dyDescent="0.3">
      <c r="A2" s="12" t="s">
        <v>41</v>
      </c>
      <c r="B2" s="15">
        <v>0.04</v>
      </c>
      <c r="C2" s="15">
        <v>0.04</v>
      </c>
      <c r="D2" s="15">
        <v>3.5000000000000003E-2</v>
      </c>
      <c r="E2" s="15">
        <v>0.03</v>
      </c>
      <c r="F2" s="15">
        <v>0.03</v>
      </c>
    </row>
    <row r="3" spans="1:6" x14ac:dyDescent="0.3">
      <c r="A3" s="12" t="s">
        <v>43</v>
      </c>
      <c r="B3" s="15">
        <v>0.6</v>
      </c>
      <c r="C3" s="15">
        <v>0.6</v>
      </c>
      <c r="D3" s="15">
        <v>0.6</v>
      </c>
      <c r="E3" s="15">
        <v>0.6</v>
      </c>
      <c r="F3" s="15">
        <v>0.6</v>
      </c>
    </row>
    <row r="4" spans="1:6" ht="28.8" x14ac:dyDescent="0.3">
      <c r="A4" s="12" t="s">
        <v>49</v>
      </c>
      <c r="B4" s="15">
        <v>0.24</v>
      </c>
      <c r="C4" s="15">
        <v>0.24</v>
      </c>
      <c r="D4" s="15">
        <v>0.24</v>
      </c>
      <c r="E4" s="15">
        <v>0.24</v>
      </c>
      <c r="F4" s="15">
        <v>0.24</v>
      </c>
    </row>
    <row r="5" spans="1:6" x14ac:dyDescent="0.3">
      <c r="A5" s="12" t="s">
        <v>86</v>
      </c>
      <c r="B5" s="15">
        <v>0.19</v>
      </c>
      <c r="C5" s="15">
        <v>0.19</v>
      </c>
      <c r="D5" s="15">
        <v>0.19</v>
      </c>
      <c r="E5" s="15">
        <v>0.19</v>
      </c>
      <c r="F5" s="15">
        <v>0.19</v>
      </c>
    </row>
    <row r="6" spans="1:6" ht="28.8" x14ac:dyDescent="0.3">
      <c r="A6" s="12" t="s">
        <v>59</v>
      </c>
      <c r="B6" s="15">
        <v>0.04</v>
      </c>
      <c r="C6" s="15">
        <v>0.04</v>
      </c>
      <c r="D6" s="15">
        <v>0.04</v>
      </c>
      <c r="E6" s="15">
        <v>0.04</v>
      </c>
      <c r="F6" s="15">
        <v>0.04</v>
      </c>
    </row>
    <row r="7" spans="1:6" ht="28.8" x14ac:dyDescent="0.3">
      <c r="A7" s="12" t="s">
        <v>87</v>
      </c>
      <c r="B7" s="15">
        <v>0.03</v>
      </c>
      <c r="C7" s="15">
        <v>0.03</v>
      </c>
      <c r="D7" s="15">
        <v>0.03</v>
      </c>
      <c r="E7" s="15">
        <v>0.03</v>
      </c>
      <c r="F7" s="15">
        <v>0.03</v>
      </c>
    </row>
    <row r="8" spans="1:6" ht="28.8" x14ac:dyDescent="0.3">
      <c r="A8" s="12" t="s">
        <v>96</v>
      </c>
      <c r="B8" s="16">
        <v>0.20499999999999999</v>
      </c>
      <c r="C8" s="16">
        <v>0.20499999999999999</v>
      </c>
      <c r="D8" s="16">
        <v>0.20499999999999999</v>
      </c>
      <c r="E8" s="16">
        <v>0.20499999999999999</v>
      </c>
      <c r="F8" s="16">
        <v>0.20499999999999999</v>
      </c>
    </row>
    <row r="10" spans="1:6" x14ac:dyDescent="0.3">
      <c r="A10" s="12" t="s">
        <v>130</v>
      </c>
      <c r="B10" s="62" t="s">
        <v>131</v>
      </c>
      <c r="C10" s="62"/>
      <c r="D10" s="62"/>
      <c r="E10" s="62"/>
      <c r="F10" s="62"/>
    </row>
    <row r="11" spans="1:6" x14ac:dyDescent="0.3">
      <c r="B11" s="62"/>
      <c r="C11" s="62"/>
      <c r="D11" s="62"/>
      <c r="E11" s="62"/>
      <c r="F11" s="62"/>
    </row>
  </sheetData>
  <mergeCells count="1">
    <mergeCell ref="B10:F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33F0-943F-4FB7-9D57-EB4CEAD77FF8}">
  <dimension ref="A1:G18"/>
  <sheetViews>
    <sheetView zoomScale="138" zoomScaleNormal="84" workbookViewId="0">
      <selection activeCell="C9" sqref="C9"/>
    </sheetView>
  </sheetViews>
  <sheetFormatPr defaultRowHeight="14.4" x14ac:dyDescent="0.3"/>
  <cols>
    <col min="1" max="1" width="40.6640625" customWidth="1"/>
    <col min="2" max="2" width="11.88671875" bestFit="1" customWidth="1"/>
    <col min="3" max="3" width="12.33203125" bestFit="1" customWidth="1"/>
    <col min="4" max="5" width="12.77734375" bestFit="1" customWidth="1"/>
    <col min="6" max="7" width="12.33203125" bestFit="1" customWidth="1"/>
  </cols>
  <sheetData>
    <row r="1" spans="1:7" x14ac:dyDescent="0.3">
      <c r="A1" s="11" t="s">
        <v>88</v>
      </c>
      <c r="B1" s="13" t="s">
        <v>89</v>
      </c>
      <c r="C1" s="13" t="s">
        <v>81</v>
      </c>
      <c r="D1" s="13" t="s">
        <v>82</v>
      </c>
      <c r="E1" s="13" t="s">
        <v>83</v>
      </c>
      <c r="F1" s="13" t="s">
        <v>84</v>
      </c>
      <c r="G1" s="13" t="s">
        <v>85</v>
      </c>
    </row>
    <row r="2" spans="1:7" x14ac:dyDescent="0.3">
      <c r="A2" s="12" t="s">
        <v>78</v>
      </c>
      <c r="B2" s="14">
        <v>47061</v>
      </c>
      <c r="C2" s="14">
        <f>B2*(1+C3)</f>
        <v>48943.44</v>
      </c>
      <c r="D2" s="14">
        <f t="shared" ref="D2:G2" si="0">C2*(1+D3)</f>
        <v>50656.460399999996</v>
      </c>
      <c r="E2" s="14">
        <f t="shared" si="0"/>
        <v>52176.154211999994</v>
      </c>
      <c r="F2" s="14">
        <f t="shared" si="0"/>
        <v>53741.438838359994</v>
      </c>
      <c r="G2" s="14">
        <f t="shared" si="0"/>
        <v>53741.438838359994</v>
      </c>
    </row>
    <row r="3" spans="1:7" x14ac:dyDescent="0.3">
      <c r="A3" s="12" t="s">
        <v>41</v>
      </c>
      <c r="B3" s="15">
        <f>Assumptions!B2</f>
        <v>0.04</v>
      </c>
      <c r="C3" s="15">
        <f>Assumptions!C2</f>
        <v>0.04</v>
      </c>
      <c r="D3" s="15">
        <f>Assumptions!D2</f>
        <v>3.5000000000000003E-2</v>
      </c>
      <c r="E3" s="15">
        <f>Assumptions!E2</f>
        <v>0.03</v>
      </c>
      <c r="F3" s="15">
        <f>Assumptions!F2</f>
        <v>0.03</v>
      </c>
      <c r="G3" s="15">
        <f>Assumptions!G2</f>
        <v>0</v>
      </c>
    </row>
    <row r="4" spans="1:7" x14ac:dyDescent="0.3">
      <c r="A4" s="12" t="s">
        <v>95</v>
      </c>
      <c r="B4" s="14">
        <v>18324</v>
      </c>
      <c r="C4" s="14">
        <f>C2-C5</f>
        <v>19577.376</v>
      </c>
      <c r="D4" s="14">
        <f t="shared" ref="D4:G4" si="1">D2-D5</f>
        <v>20262.584159999999</v>
      </c>
      <c r="E4" s="14">
        <f t="shared" si="1"/>
        <v>20870.461684800001</v>
      </c>
      <c r="F4" s="14">
        <f t="shared" si="1"/>
        <v>21496.575535344</v>
      </c>
      <c r="G4" s="14">
        <f t="shared" si="1"/>
        <v>21496.575535344</v>
      </c>
    </row>
    <row r="5" spans="1:7" x14ac:dyDescent="0.3">
      <c r="A5" s="12" t="s">
        <v>7</v>
      </c>
      <c r="B5" s="14">
        <f>B2*B6</f>
        <v>28236.6</v>
      </c>
      <c r="C5" s="14">
        <f>C2*C6</f>
        <v>29366.064000000002</v>
      </c>
      <c r="D5" s="14">
        <f t="shared" ref="D5:G5" si="2">D2*D6</f>
        <v>30393.876239999998</v>
      </c>
      <c r="E5" s="14">
        <f t="shared" si="2"/>
        <v>31305.692527199993</v>
      </c>
      <c r="F5" s="14">
        <f t="shared" si="2"/>
        <v>32244.863303015994</v>
      </c>
      <c r="G5" s="14">
        <f t="shared" si="2"/>
        <v>32244.863303015994</v>
      </c>
    </row>
    <row r="6" spans="1:7" x14ac:dyDescent="0.3">
      <c r="A6" s="12" t="s">
        <v>43</v>
      </c>
      <c r="B6" s="15">
        <f>Assumptions!B3</f>
        <v>0.6</v>
      </c>
      <c r="C6" s="15">
        <f>Assumptions!C3</f>
        <v>0.6</v>
      </c>
      <c r="D6" s="15">
        <f>Assumptions!D3</f>
        <v>0.6</v>
      </c>
      <c r="E6" s="15">
        <f>Assumptions!E3</f>
        <v>0.6</v>
      </c>
      <c r="F6" s="15">
        <f>Assumptions!F3</f>
        <v>0.6</v>
      </c>
      <c r="G6" s="15">
        <f>60%</f>
        <v>0.6</v>
      </c>
    </row>
    <row r="7" spans="1:7" x14ac:dyDescent="0.3">
      <c r="A7" s="12" t="s">
        <v>90</v>
      </c>
      <c r="B7" s="14">
        <f>B2*B8</f>
        <v>9647.5049999999992</v>
      </c>
      <c r="C7" s="14">
        <f t="shared" ref="C7:G7" si="3">C2*C8</f>
        <v>10033.405199999999</v>
      </c>
      <c r="D7" s="14">
        <f t="shared" si="3"/>
        <v>10384.574381999999</v>
      </c>
      <c r="E7" s="14">
        <f t="shared" si="3"/>
        <v>10696.111613459998</v>
      </c>
      <c r="F7" s="14">
        <f t="shared" si="3"/>
        <v>11016.994961863798</v>
      </c>
      <c r="G7" s="14">
        <f t="shared" si="3"/>
        <v>11016.994961863798</v>
      </c>
    </row>
    <row r="8" spans="1:7" x14ac:dyDescent="0.3">
      <c r="A8" s="12" t="s">
        <v>91</v>
      </c>
      <c r="B8" s="16">
        <v>0.20499999999999999</v>
      </c>
      <c r="C8" s="16">
        <v>0.20499999999999999</v>
      </c>
      <c r="D8" s="16">
        <v>0.20499999999999999</v>
      </c>
      <c r="E8" s="16">
        <v>0.20499999999999999</v>
      </c>
      <c r="F8" s="16">
        <v>0.20499999999999999</v>
      </c>
      <c r="G8" s="16">
        <v>0.20499999999999999</v>
      </c>
    </row>
    <row r="9" spans="1:7" x14ac:dyDescent="0.3">
      <c r="A9" s="12" t="s">
        <v>33</v>
      </c>
      <c r="B9" s="14">
        <f>B2*B10</f>
        <v>1411.83</v>
      </c>
      <c r="C9" s="14">
        <f t="shared" ref="C9:G9" si="4">C2*C10</f>
        <v>1468.3032000000001</v>
      </c>
      <c r="D9" s="14">
        <f t="shared" si="4"/>
        <v>1519.6938119999998</v>
      </c>
      <c r="E9" s="14">
        <f t="shared" si="4"/>
        <v>1565.2846263599997</v>
      </c>
      <c r="F9" s="14">
        <f t="shared" si="4"/>
        <v>1612.2431651507998</v>
      </c>
      <c r="G9" s="14">
        <f t="shared" si="4"/>
        <v>1612.2431651507998</v>
      </c>
    </row>
    <row r="10" spans="1:7" x14ac:dyDescent="0.3">
      <c r="A10" s="12" t="s">
        <v>92</v>
      </c>
      <c r="B10" s="15">
        <v>0.03</v>
      </c>
      <c r="C10" s="15">
        <v>0.03</v>
      </c>
      <c r="D10" s="15">
        <v>0.03</v>
      </c>
      <c r="E10" s="15">
        <v>0.03</v>
      </c>
      <c r="F10" s="15">
        <v>0.03</v>
      </c>
      <c r="G10" s="15">
        <v>0.03</v>
      </c>
    </row>
    <row r="11" spans="1:7" x14ac:dyDescent="0.3">
      <c r="A11" s="12" t="s">
        <v>93</v>
      </c>
      <c r="B11" s="17">
        <f>B2*B12</f>
        <v>11294.64</v>
      </c>
      <c r="C11" s="17">
        <f t="shared" ref="C11:G11" si="5">C2*C12</f>
        <v>11746.4256</v>
      </c>
      <c r="D11" s="17">
        <f t="shared" si="5"/>
        <v>12157.550495999998</v>
      </c>
      <c r="E11" s="17">
        <f t="shared" si="5"/>
        <v>12522.277010879998</v>
      </c>
      <c r="F11" s="17">
        <f t="shared" si="5"/>
        <v>12897.945321206398</v>
      </c>
      <c r="G11" s="17">
        <f t="shared" si="5"/>
        <v>12897.945321206398</v>
      </c>
    </row>
    <row r="12" spans="1:7" x14ac:dyDescent="0.3">
      <c r="A12" s="12" t="s">
        <v>49</v>
      </c>
      <c r="B12" s="15">
        <v>0.24</v>
      </c>
      <c r="C12" s="15">
        <v>0.24</v>
      </c>
      <c r="D12" s="15">
        <v>0.24</v>
      </c>
      <c r="E12" s="15">
        <v>0.24</v>
      </c>
      <c r="F12" s="15">
        <v>0.24</v>
      </c>
      <c r="G12" s="15">
        <v>0.24</v>
      </c>
    </row>
    <row r="13" spans="1:7" x14ac:dyDescent="0.3">
      <c r="A13" s="12" t="s">
        <v>12</v>
      </c>
      <c r="B13" s="14">
        <v>1656</v>
      </c>
      <c r="C13" s="14">
        <v>1656</v>
      </c>
      <c r="D13" s="14">
        <v>1656</v>
      </c>
      <c r="E13" s="14">
        <v>1656</v>
      </c>
      <c r="F13" s="14">
        <v>1656</v>
      </c>
      <c r="G13" s="14">
        <v>1656</v>
      </c>
    </row>
    <row r="14" spans="1:7" x14ac:dyDescent="0.3">
      <c r="A14" s="12" t="s">
        <v>94</v>
      </c>
      <c r="B14" s="18">
        <f>B11-B13</f>
        <v>9638.64</v>
      </c>
      <c r="C14" s="18">
        <f t="shared" ref="C14:G14" si="6">C11-C13</f>
        <v>10090.4256</v>
      </c>
      <c r="D14" s="18">
        <f t="shared" si="6"/>
        <v>10501.550495999998</v>
      </c>
      <c r="E14" s="18">
        <f t="shared" si="6"/>
        <v>10866.277010879998</v>
      </c>
      <c r="F14" s="18">
        <f t="shared" si="6"/>
        <v>11241.945321206398</v>
      </c>
      <c r="G14" s="18">
        <f t="shared" si="6"/>
        <v>11241.945321206398</v>
      </c>
    </row>
    <row r="15" spans="1:7" x14ac:dyDescent="0.3">
      <c r="A15" s="12" t="s">
        <v>86</v>
      </c>
      <c r="B15" s="19">
        <v>0.19</v>
      </c>
      <c r="C15" s="19">
        <v>0.19</v>
      </c>
      <c r="D15" s="19">
        <v>0.19</v>
      </c>
      <c r="E15" s="19">
        <v>0.19</v>
      </c>
      <c r="F15" s="19">
        <v>0.19</v>
      </c>
      <c r="G15" s="19">
        <v>0.19</v>
      </c>
    </row>
    <row r="16" spans="1:7" x14ac:dyDescent="0.3">
      <c r="A16" s="12" t="s">
        <v>97</v>
      </c>
      <c r="B16" s="20">
        <f>B14*19/100</f>
        <v>1831.3415999999997</v>
      </c>
      <c r="C16" s="20">
        <f t="shared" ref="C16:G16" si="7">C14*19/100</f>
        <v>1917.1808639999999</v>
      </c>
      <c r="D16" s="20">
        <f t="shared" si="7"/>
        <v>1995.2945942399997</v>
      </c>
      <c r="E16" s="20">
        <f t="shared" si="7"/>
        <v>2064.5926320671992</v>
      </c>
      <c r="F16" s="20">
        <f t="shared" si="7"/>
        <v>2135.9696110292157</v>
      </c>
      <c r="G16" s="20">
        <f t="shared" si="7"/>
        <v>2135.9696110292157</v>
      </c>
    </row>
    <row r="17" spans="1:7" x14ac:dyDescent="0.3">
      <c r="A17" s="12" t="s">
        <v>79</v>
      </c>
      <c r="B17" s="17">
        <f>B14-B16</f>
        <v>7807.2983999999997</v>
      </c>
      <c r="C17" s="17">
        <f t="shared" ref="C17:G17" si="8">C14-C16</f>
        <v>8173.2447360000006</v>
      </c>
      <c r="D17" s="17">
        <f t="shared" si="8"/>
        <v>8506.2559017599979</v>
      </c>
      <c r="E17" s="17">
        <f t="shared" si="8"/>
        <v>8801.684378812799</v>
      </c>
      <c r="F17" s="17">
        <f t="shared" si="8"/>
        <v>9105.9757101771829</v>
      </c>
      <c r="G17" s="17">
        <f t="shared" si="8"/>
        <v>9105.9757101771829</v>
      </c>
    </row>
    <row r="18" spans="1:7" x14ac:dyDescent="0.3">
      <c r="A18" s="12" t="s">
        <v>51</v>
      </c>
      <c r="B18" s="21">
        <f>B17/B2</f>
        <v>0.16589741824440618</v>
      </c>
      <c r="C18" s="21">
        <f t="shared" ref="C18:G18" si="9">C17/C2</f>
        <v>0.16699367138885213</v>
      </c>
      <c r="D18" s="21">
        <f t="shared" si="9"/>
        <v>0.16792045544816625</v>
      </c>
      <c r="E18" s="21">
        <f t="shared" si="9"/>
        <v>0.16869170431860805</v>
      </c>
      <c r="F18" s="21">
        <f t="shared" si="9"/>
        <v>0.16944048962971656</v>
      </c>
      <c r="G18" s="21">
        <f t="shared" si="9"/>
        <v>0.16944048962971656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4E1E-563E-4296-8246-0AF392515B0D}">
  <dimension ref="A1:N27"/>
  <sheetViews>
    <sheetView zoomScale="101" workbookViewId="0">
      <selection activeCell="B15" sqref="B15"/>
    </sheetView>
  </sheetViews>
  <sheetFormatPr defaultRowHeight="14.4" x14ac:dyDescent="0.3"/>
  <cols>
    <col min="1" max="1" width="35.5546875" customWidth="1"/>
    <col min="2" max="2" width="8.5546875" bestFit="1" customWidth="1"/>
    <col min="3" max="3" width="14.88671875" bestFit="1" customWidth="1"/>
    <col min="4" max="5" width="14.6640625" bestFit="1" customWidth="1"/>
    <col min="6" max="6" width="13.5546875" bestFit="1" customWidth="1"/>
    <col min="7" max="7" width="11" bestFit="1" customWidth="1"/>
    <col min="11" max="11" width="4.77734375" customWidth="1"/>
  </cols>
  <sheetData>
    <row r="1" spans="1:14" ht="28.8" x14ac:dyDescent="0.3">
      <c r="A1" s="5" t="s">
        <v>16</v>
      </c>
      <c r="B1" s="6" t="s">
        <v>17</v>
      </c>
      <c r="C1" s="6" t="s">
        <v>75</v>
      </c>
      <c r="D1" s="6" t="s">
        <v>76</v>
      </c>
      <c r="E1" s="6" t="s">
        <v>77</v>
      </c>
      <c r="F1" s="6" t="s">
        <v>99</v>
      </c>
      <c r="G1" s="6" t="s">
        <v>100</v>
      </c>
      <c r="H1" s="5" t="s">
        <v>101</v>
      </c>
    </row>
    <row r="2" spans="1:14" x14ac:dyDescent="0.3">
      <c r="A2" s="9" t="s">
        <v>19</v>
      </c>
      <c r="B2" s="27">
        <v>10828</v>
      </c>
      <c r="C2" s="27">
        <f>'Cash flow forcasting'!C18</f>
        <v>15001.1080416</v>
      </c>
      <c r="D2" s="27">
        <f>'Cash flow forcasting'!D18</f>
        <v>20311.992374655998</v>
      </c>
      <c r="E2" s="27">
        <f>'Cash flow forcasting'!E18</f>
        <v>25545.839917703677</v>
      </c>
      <c r="F2" s="27">
        <f>'Cash flow forcasting'!F18</f>
        <v>30868.606567042785</v>
      </c>
      <c r="G2" s="27">
        <f>'Cash flow forcasting'!G18</f>
        <v>36189.263216381893</v>
      </c>
      <c r="H2" s="28" t="s">
        <v>103</v>
      </c>
    </row>
    <row r="3" spans="1:14" x14ac:dyDescent="0.3">
      <c r="A3" s="9" t="s">
        <v>20</v>
      </c>
      <c r="B3" s="27">
        <v>2020</v>
      </c>
      <c r="C3" s="27">
        <v>2020</v>
      </c>
      <c r="D3" s="27">
        <v>2020</v>
      </c>
      <c r="E3" s="27">
        <v>2020</v>
      </c>
      <c r="F3" s="27">
        <v>2020</v>
      </c>
      <c r="G3" s="27">
        <v>2020</v>
      </c>
      <c r="H3" s="28" t="s">
        <v>104</v>
      </c>
    </row>
    <row r="4" spans="1:14" ht="28.8" x14ac:dyDescent="0.3">
      <c r="A4" s="9" t="s">
        <v>21</v>
      </c>
      <c r="B4" s="27">
        <v>3569</v>
      </c>
      <c r="C4" s="29">
        <v>3711.76</v>
      </c>
      <c r="D4" s="29">
        <v>3529.35</v>
      </c>
      <c r="E4" s="29">
        <v>3603.37</v>
      </c>
      <c r="F4" s="29">
        <v>3603.37</v>
      </c>
      <c r="G4" s="29">
        <v>3603.37</v>
      </c>
      <c r="H4" s="28" t="s">
        <v>105</v>
      </c>
    </row>
    <row r="5" spans="1:14" ht="28.8" x14ac:dyDescent="0.3">
      <c r="A5" s="9" t="s">
        <v>22</v>
      </c>
      <c r="B5" s="27">
        <v>4728</v>
      </c>
      <c r="C5" s="29">
        <v>5051.3999999999996</v>
      </c>
      <c r="D5" s="29">
        <v>4578.84</v>
      </c>
      <c r="E5" s="29">
        <v>4786.08</v>
      </c>
      <c r="F5" s="29">
        <v>4805.4399999999996</v>
      </c>
      <c r="G5" s="29">
        <v>4723.45</v>
      </c>
      <c r="H5" s="28" t="s">
        <v>106</v>
      </c>
      <c r="M5" s="14"/>
    </row>
    <row r="6" spans="1:14" x14ac:dyDescent="0.3">
      <c r="A6" s="9" t="s">
        <v>127</v>
      </c>
      <c r="B6" s="31">
        <v>4852</v>
      </c>
      <c r="C6" s="31">
        <v>4852</v>
      </c>
      <c r="D6" s="31">
        <v>4852</v>
      </c>
      <c r="E6" s="31">
        <v>4852</v>
      </c>
      <c r="F6" s="31">
        <v>4852</v>
      </c>
      <c r="G6" s="31">
        <v>4852</v>
      </c>
      <c r="H6" s="28"/>
      <c r="M6" s="14"/>
    </row>
    <row r="7" spans="1:14" x14ac:dyDescent="0.3">
      <c r="A7" s="26" t="s">
        <v>23</v>
      </c>
      <c r="B7" s="27">
        <f>SUM(B2:B6)</f>
        <v>25997</v>
      </c>
      <c r="C7" s="27">
        <f t="shared" ref="C7:G7" si="0">SUM(C2:C6)</f>
        <v>30636.2680416</v>
      </c>
      <c r="D7" s="27">
        <f t="shared" si="0"/>
        <v>35292.182374655997</v>
      </c>
      <c r="E7" s="27">
        <f t="shared" si="0"/>
        <v>40807.289917703674</v>
      </c>
      <c r="F7" s="27">
        <f t="shared" si="0"/>
        <v>46149.41656704279</v>
      </c>
      <c r="G7" s="27">
        <f t="shared" si="0"/>
        <v>51388.083216381892</v>
      </c>
      <c r="H7" s="28" t="s">
        <v>40</v>
      </c>
    </row>
    <row r="8" spans="1:14" ht="28.8" x14ac:dyDescent="0.3">
      <c r="A8" s="9" t="s">
        <v>24</v>
      </c>
      <c r="B8" s="27">
        <v>10303</v>
      </c>
      <c r="C8" s="27">
        <v>10715</v>
      </c>
      <c r="D8" s="27">
        <v>11144</v>
      </c>
      <c r="E8" s="27">
        <v>11590</v>
      </c>
      <c r="F8" s="27">
        <v>12054</v>
      </c>
      <c r="G8" s="27">
        <v>12536</v>
      </c>
      <c r="H8" s="28" t="s">
        <v>107</v>
      </c>
    </row>
    <row r="9" spans="1:14" x14ac:dyDescent="0.3">
      <c r="A9" s="9" t="s">
        <v>98</v>
      </c>
      <c r="B9" s="27">
        <v>64249</v>
      </c>
      <c r="C9" s="27">
        <v>64249</v>
      </c>
      <c r="D9" s="27">
        <v>64249</v>
      </c>
      <c r="E9" s="27">
        <v>64249</v>
      </c>
      <c r="F9" s="27">
        <v>64249</v>
      </c>
      <c r="G9" s="27">
        <v>64249</v>
      </c>
      <c r="H9" s="28" t="s">
        <v>40</v>
      </c>
      <c r="L9" s="3"/>
      <c r="M9" s="3"/>
      <c r="N9" s="3"/>
    </row>
    <row r="10" spans="1:14" x14ac:dyDescent="0.3">
      <c r="A10" s="9" t="s">
        <v>25</v>
      </c>
      <c r="B10" s="33">
        <f>B7+B8+B9</f>
        <v>100549</v>
      </c>
      <c r="C10" s="33">
        <f t="shared" ref="C10:G10" si="1">C7+C8+C9</f>
        <v>105600.26804160001</v>
      </c>
      <c r="D10" s="33">
        <f t="shared" si="1"/>
        <v>110685.182374656</v>
      </c>
      <c r="E10" s="33">
        <f t="shared" si="1"/>
        <v>116646.28991770367</v>
      </c>
      <c r="F10" s="33">
        <f t="shared" si="1"/>
        <v>122452.41656704279</v>
      </c>
      <c r="G10" s="33">
        <f t="shared" si="1"/>
        <v>128173.0832163819</v>
      </c>
      <c r="H10" s="28"/>
      <c r="L10" s="3"/>
      <c r="M10" s="3"/>
      <c r="N10" s="3"/>
    </row>
    <row r="11" spans="1:14" ht="28.8" x14ac:dyDescent="0.3">
      <c r="A11" s="9" t="s">
        <v>26</v>
      </c>
      <c r="B11" s="27">
        <v>21715</v>
      </c>
      <c r="C11" s="27">
        <v>22584</v>
      </c>
      <c r="D11" s="27">
        <v>23487</v>
      </c>
      <c r="E11" s="27">
        <v>24426</v>
      </c>
      <c r="F11" s="27">
        <v>25403</v>
      </c>
      <c r="G11" s="27">
        <v>26419</v>
      </c>
      <c r="H11" s="28" t="s">
        <v>107</v>
      </c>
    </row>
    <row r="12" spans="1:14" x14ac:dyDescent="0.3">
      <c r="A12" s="9" t="s">
        <v>27</v>
      </c>
      <c r="B12" s="27">
        <v>1499</v>
      </c>
      <c r="C12" s="27">
        <v>1499</v>
      </c>
      <c r="D12" s="27">
        <v>1499</v>
      </c>
      <c r="E12" s="27">
        <v>1499</v>
      </c>
      <c r="F12" s="27">
        <v>1499</v>
      </c>
      <c r="G12" s="27">
        <v>1499</v>
      </c>
      <c r="H12" s="28" t="s">
        <v>104</v>
      </c>
    </row>
    <row r="13" spans="1:14" x14ac:dyDescent="0.3">
      <c r="A13" s="9" t="s">
        <v>28</v>
      </c>
      <c r="B13" s="14">
        <v>648</v>
      </c>
      <c r="C13" s="14">
        <v>648</v>
      </c>
      <c r="D13" s="14">
        <v>648</v>
      </c>
      <c r="E13" s="14">
        <v>648</v>
      </c>
      <c r="F13" s="14">
        <v>648</v>
      </c>
      <c r="G13" s="14">
        <v>648</v>
      </c>
      <c r="H13" s="28" t="s">
        <v>104</v>
      </c>
    </row>
    <row r="14" spans="1:14" x14ac:dyDescent="0.3">
      <c r="A14" s="9" t="s">
        <v>128</v>
      </c>
      <c r="B14" s="36">
        <v>7940</v>
      </c>
      <c r="C14" s="36">
        <v>7940</v>
      </c>
      <c r="D14" s="36">
        <v>7940</v>
      </c>
      <c r="E14" s="36">
        <v>7940</v>
      </c>
      <c r="F14" s="36">
        <v>7940</v>
      </c>
      <c r="G14" s="36">
        <v>7940</v>
      </c>
      <c r="H14" s="28"/>
    </row>
    <row r="15" spans="1:14" x14ac:dyDescent="0.3">
      <c r="A15" s="9" t="s">
        <v>29</v>
      </c>
      <c r="B15" s="27">
        <v>42375</v>
      </c>
      <c r="C15" s="27">
        <v>42375</v>
      </c>
      <c r="D15" s="27">
        <v>42375</v>
      </c>
      <c r="E15" s="27">
        <v>42375</v>
      </c>
      <c r="F15" s="27">
        <v>42375</v>
      </c>
      <c r="G15" s="27">
        <v>42375</v>
      </c>
      <c r="H15" s="28" t="s">
        <v>104</v>
      </c>
    </row>
    <row r="16" spans="1:14" x14ac:dyDescent="0.3">
      <c r="A16" s="26" t="s">
        <v>30</v>
      </c>
      <c r="B16" s="27">
        <f>SUM(B11:B15)</f>
        <v>74177</v>
      </c>
      <c r="C16" s="27">
        <f t="shared" ref="C16:G16" si="2">SUM(C11:C15)</f>
        <v>75046</v>
      </c>
      <c r="D16" s="27">
        <f t="shared" si="2"/>
        <v>75949</v>
      </c>
      <c r="E16" s="27">
        <f t="shared" si="2"/>
        <v>76888</v>
      </c>
      <c r="F16" s="27">
        <f t="shared" si="2"/>
        <v>77865</v>
      </c>
      <c r="G16" s="27">
        <f t="shared" si="2"/>
        <v>78881</v>
      </c>
      <c r="H16" s="28" t="s">
        <v>40</v>
      </c>
    </row>
    <row r="17" spans="1:8" x14ac:dyDescent="0.3">
      <c r="A17" s="26" t="s">
        <v>31</v>
      </c>
      <c r="B17" s="31">
        <v>26372</v>
      </c>
      <c r="C17" s="31">
        <v>26372</v>
      </c>
      <c r="D17" s="31">
        <v>26372</v>
      </c>
      <c r="E17" s="31">
        <v>26372</v>
      </c>
      <c r="F17" s="31">
        <v>26372</v>
      </c>
      <c r="G17" s="31">
        <v>26372</v>
      </c>
      <c r="H17" s="28"/>
    </row>
    <row r="18" spans="1:8" x14ac:dyDescent="0.3">
      <c r="A18" s="1"/>
      <c r="B18" s="3"/>
      <c r="C18" s="3"/>
      <c r="D18" s="3"/>
      <c r="E18" s="3"/>
      <c r="F18" s="3"/>
      <c r="G18" s="3"/>
    </row>
    <row r="19" spans="1:8" x14ac:dyDescent="0.3">
      <c r="A19" s="1" t="s">
        <v>129</v>
      </c>
      <c r="B19" s="37">
        <f>B10-B16-B17</f>
        <v>0</v>
      </c>
      <c r="C19" s="37">
        <f t="shared" ref="C19:G19" si="3">C10-C16-C17</f>
        <v>4182.2680416000076</v>
      </c>
      <c r="D19" s="37">
        <f t="shared" si="3"/>
        <v>8364.1823746559967</v>
      </c>
      <c r="E19" s="37">
        <f t="shared" si="3"/>
        <v>13386.289917703674</v>
      </c>
      <c r="F19" s="37">
        <f t="shared" si="3"/>
        <v>18215.41656704279</v>
      </c>
      <c r="G19" s="37">
        <f t="shared" si="3"/>
        <v>22920.0832163819</v>
      </c>
    </row>
    <row r="20" spans="1:8" x14ac:dyDescent="0.3">
      <c r="A20" s="35"/>
      <c r="B20" s="3"/>
      <c r="C20" s="3"/>
      <c r="D20" s="3"/>
      <c r="E20" s="3"/>
      <c r="F20" s="3"/>
      <c r="G20" s="3"/>
    </row>
    <row r="21" spans="1:8" x14ac:dyDescent="0.3">
      <c r="A21" s="1"/>
      <c r="B21" s="3"/>
      <c r="C21" s="3"/>
      <c r="D21" s="3"/>
      <c r="E21" s="3"/>
      <c r="F21" s="3"/>
      <c r="G21" s="3"/>
    </row>
    <row r="22" spans="1:8" x14ac:dyDescent="0.3">
      <c r="A22" s="22"/>
      <c r="B22" s="3"/>
      <c r="C22" s="3"/>
      <c r="D22" s="3"/>
      <c r="E22" s="3"/>
      <c r="F22" s="3"/>
      <c r="G22" s="3"/>
    </row>
    <row r="23" spans="1:8" x14ac:dyDescent="0.3">
      <c r="A23" s="1"/>
      <c r="B23" s="3"/>
      <c r="C23" s="25"/>
      <c r="D23" s="3"/>
      <c r="E23" s="3"/>
      <c r="F23" s="3"/>
      <c r="G23" s="3"/>
    </row>
    <row r="24" spans="1:8" x14ac:dyDescent="0.3">
      <c r="A24" s="1"/>
      <c r="B24" s="3"/>
      <c r="C24" s="3"/>
      <c r="D24" s="3"/>
      <c r="E24" s="3"/>
      <c r="F24" s="3"/>
      <c r="G24" s="3"/>
    </row>
    <row r="25" spans="1:8" x14ac:dyDescent="0.3">
      <c r="A25" s="22"/>
      <c r="B25" s="3"/>
      <c r="C25" s="3"/>
      <c r="D25" s="3"/>
      <c r="E25" s="3"/>
      <c r="F25" s="3"/>
      <c r="G25" s="3"/>
    </row>
    <row r="26" spans="1:8" x14ac:dyDescent="0.3">
      <c r="A26" s="22"/>
      <c r="B26" s="3"/>
      <c r="C26" s="3"/>
      <c r="D26" s="25"/>
      <c r="E26" s="3"/>
      <c r="F26" s="3"/>
      <c r="G26" s="3"/>
    </row>
    <row r="27" spans="1:8" x14ac:dyDescent="0.3">
      <c r="A27" s="22"/>
      <c r="B27" s="3"/>
      <c r="C27" s="3"/>
      <c r="D27" s="3"/>
      <c r="E27" s="3"/>
      <c r="F27" s="3"/>
      <c r="G27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A3742-4759-4E3B-A2D2-1B8E171C940F}">
  <dimension ref="A1:H21"/>
  <sheetViews>
    <sheetView zoomScale="87" workbookViewId="0">
      <selection activeCell="J13" sqref="J13"/>
    </sheetView>
  </sheetViews>
  <sheetFormatPr defaultRowHeight="14.4" x14ac:dyDescent="0.3"/>
  <cols>
    <col min="1" max="1" width="26.109375" customWidth="1"/>
    <col min="2" max="2" width="10.6640625" bestFit="1" customWidth="1"/>
    <col min="3" max="3" width="9.21875" bestFit="1" customWidth="1"/>
    <col min="4" max="4" width="11.21875" bestFit="1" customWidth="1"/>
    <col min="5" max="7" width="12.21875" bestFit="1" customWidth="1"/>
    <col min="8" max="8" width="15.21875" customWidth="1"/>
  </cols>
  <sheetData>
    <row r="1" spans="1:8" ht="57.6" x14ac:dyDescent="0.3">
      <c r="A1" s="5" t="s">
        <v>108</v>
      </c>
      <c r="B1" s="6" t="s">
        <v>89</v>
      </c>
      <c r="C1" s="6" t="s">
        <v>81</v>
      </c>
      <c r="D1" s="6" t="s">
        <v>82</v>
      </c>
      <c r="E1" s="6" t="s">
        <v>83</v>
      </c>
      <c r="F1" s="6" t="s">
        <v>84</v>
      </c>
      <c r="G1" s="6" t="s">
        <v>85</v>
      </c>
      <c r="H1" s="2" t="s">
        <v>101</v>
      </c>
    </row>
    <row r="2" spans="1:8" ht="43.2" x14ac:dyDescent="0.3">
      <c r="A2" s="26" t="s">
        <v>109</v>
      </c>
      <c r="B2" s="14"/>
      <c r="C2" s="14"/>
      <c r="D2" s="14"/>
      <c r="E2" s="14"/>
      <c r="F2" s="14"/>
      <c r="G2" s="14"/>
      <c r="H2" s="1"/>
    </row>
    <row r="3" spans="1:8" ht="57.6" x14ac:dyDescent="0.3">
      <c r="A3" s="9" t="s">
        <v>79</v>
      </c>
      <c r="B3" s="34">
        <f>'Income statement forecasting'!B17</f>
        <v>7807.2983999999997</v>
      </c>
      <c r="C3" s="34">
        <f>'Income statement forecasting'!C17</f>
        <v>8173.2447360000006</v>
      </c>
      <c r="D3" s="34">
        <f>'Income statement forecasting'!D17</f>
        <v>8506.2559017599979</v>
      </c>
      <c r="E3" s="34">
        <f>'Income statement forecasting'!E17</f>
        <v>8801.684378812799</v>
      </c>
      <c r="F3" s="34">
        <f>'Income statement forecasting'!F17</f>
        <v>9105.9757101771829</v>
      </c>
      <c r="G3" s="34">
        <f>'Income statement forecasting'!G17</f>
        <v>9105.9757101771829</v>
      </c>
      <c r="H3" s="1" t="s">
        <v>110</v>
      </c>
    </row>
    <row r="4" spans="1:8" ht="57.6" x14ac:dyDescent="0.3">
      <c r="A4" s="9" t="s">
        <v>33</v>
      </c>
      <c r="B4" s="34">
        <f>'Income statement forecasting'!B9</f>
        <v>1411.83</v>
      </c>
      <c r="C4" s="34">
        <f>'Income statement forecasting'!C9</f>
        <v>1468.3032000000001</v>
      </c>
      <c r="D4" s="34">
        <f>'Income statement forecasting'!D9</f>
        <v>1519.6938119999998</v>
      </c>
      <c r="E4" s="34">
        <f>'Income statement forecasting'!E9</f>
        <v>1565.2846263599997</v>
      </c>
      <c r="F4" s="34">
        <f>'Income statement forecasting'!F9</f>
        <v>1612.2431651507998</v>
      </c>
      <c r="G4" s="34">
        <f>'Income statement forecasting'!G9</f>
        <v>1612.2431651507998</v>
      </c>
      <c r="H4" s="1" t="s">
        <v>110</v>
      </c>
    </row>
    <row r="5" spans="1:8" ht="28.8" x14ac:dyDescent="0.3">
      <c r="A5" s="9" t="s">
        <v>111</v>
      </c>
      <c r="B5" s="29">
        <f>'Balance sheet forecasting'!C4-'Balance sheet forecasting'!B4</f>
        <v>142.76000000000022</v>
      </c>
      <c r="C5" s="29">
        <f>'Balance sheet forecasting'!D4-'Balance sheet forecasting'!C4</f>
        <v>-182.41000000000031</v>
      </c>
      <c r="D5" s="29">
        <f>'Balance sheet forecasting'!E4-'Balance sheet forecasting'!D4</f>
        <v>74.019999999999982</v>
      </c>
      <c r="E5" s="29">
        <f>'Balance sheet forecasting'!F4-'Balance sheet forecasting'!E4</f>
        <v>0</v>
      </c>
      <c r="F5" s="29">
        <f>'Balance sheet forecasting'!G4-'Balance sheet forecasting'!F4</f>
        <v>0</v>
      </c>
      <c r="G5" s="29">
        <v>0</v>
      </c>
      <c r="H5" s="1" t="s">
        <v>112</v>
      </c>
    </row>
    <row r="6" spans="1:8" x14ac:dyDescent="0.3">
      <c r="A6" s="9" t="s">
        <v>113</v>
      </c>
      <c r="B6" s="29">
        <f>'Balance sheet forecasting'!C5-'Balance sheet forecasting'!B5</f>
        <v>323.39999999999964</v>
      </c>
      <c r="C6" s="29">
        <f>'Balance sheet forecasting'!D5-'Balance sheet forecasting'!C5</f>
        <v>-472.55999999999949</v>
      </c>
      <c r="D6" s="29">
        <f>'Balance sheet forecasting'!E5-'Balance sheet forecasting'!D5</f>
        <v>207.23999999999978</v>
      </c>
      <c r="E6" s="29">
        <f>'Balance sheet forecasting'!F5-'Balance sheet forecasting'!E5</f>
        <v>19.359999999999673</v>
      </c>
      <c r="F6" s="29">
        <f>'Balance sheet forecasting'!G5-'Balance sheet forecasting'!F5</f>
        <v>-81.989999999999782</v>
      </c>
      <c r="G6" s="29">
        <v>-9.1</v>
      </c>
      <c r="H6" s="1" t="s">
        <v>112</v>
      </c>
    </row>
    <row r="7" spans="1:8" ht="28.8" x14ac:dyDescent="0.3">
      <c r="A7" s="9" t="s">
        <v>114</v>
      </c>
      <c r="B7" s="27">
        <f>'Balance sheet forecasting'!C11-'Balance sheet forecasting'!B11</f>
        <v>869</v>
      </c>
      <c r="C7" s="27">
        <f>'Balance sheet forecasting'!D11-'Balance sheet forecasting'!C11</f>
        <v>903</v>
      </c>
      <c r="D7" s="27">
        <f>'Balance sheet forecasting'!E11-'Balance sheet forecasting'!D11</f>
        <v>939</v>
      </c>
      <c r="E7" s="27">
        <f>'Balance sheet forecasting'!F11-'Balance sheet forecasting'!E11</f>
        <v>977</v>
      </c>
      <c r="F7" s="27">
        <f>'Balance sheet forecasting'!G11-'Balance sheet forecasting'!F11</f>
        <v>1016</v>
      </c>
      <c r="G7" s="27">
        <v>941</v>
      </c>
      <c r="H7" s="1" t="s">
        <v>112</v>
      </c>
    </row>
    <row r="8" spans="1:8" ht="28.8" x14ac:dyDescent="0.3">
      <c r="A8" s="26" t="s">
        <v>115</v>
      </c>
      <c r="B8" s="34">
        <f>SUM(B3:B7)</f>
        <v>10554.288399999999</v>
      </c>
      <c r="C8" s="34">
        <f t="shared" ref="C8:G8" si="0">SUM(C3:C7)</f>
        <v>9889.5779360000015</v>
      </c>
      <c r="D8" s="34">
        <f t="shared" si="0"/>
        <v>11246.209713759998</v>
      </c>
      <c r="E8" s="34">
        <f t="shared" si="0"/>
        <v>11363.3290051728</v>
      </c>
      <c r="F8" s="34">
        <f t="shared" si="0"/>
        <v>11652.228875327983</v>
      </c>
      <c r="G8" s="34">
        <f t="shared" si="0"/>
        <v>11650.118875327982</v>
      </c>
      <c r="H8" s="1" t="s">
        <v>40</v>
      </c>
    </row>
    <row r="9" spans="1:8" x14ac:dyDescent="0.3">
      <c r="A9" s="26" t="s">
        <v>116</v>
      </c>
      <c r="B9" s="14"/>
      <c r="C9" s="14"/>
      <c r="D9" s="14"/>
      <c r="E9" s="14"/>
      <c r="F9" s="14"/>
      <c r="G9" s="14"/>
      <c r="H9" s="1"/>
    </row>
    <row r="10" spans="1:8" x14ac:dyDescent="0.3">
      <c r="A10" s="9" t="s">
        <v>117</v>
      </c>
      <c r="B10" s="14">
        <f>-'Income statement forecasting'!B2*5%</f>
        <v>-2353.0500000000002</v>
      </c>
      <c r="C10" s="14">
        <f>-'Income statement forecasting'!C2*5%</f>
        <v>-2447.172</v>
      </c>
      <c r="D10" s="14">
        <f>-'Income statement forecasting'!D2*5%</f>
        <v>-2532.8230199999998</v>
      </c>
      <c r="E10" s="14">
        <f>-'Income statement forecasting'!E2*5%</f>
        <v>-2608.8077106000001</v>
      </c>
      <c r="F10" s="14">
        <f>-'Income statement forecasting'!F2*5%</f>
        <v>-2687.071941918</v>
      </c>
      <c r="G10" s="14">
        <f>-'Income statement forecasting'!G2*5%</f>
        <v>-2687.071941918</v>
      </c>
      <c r="H10" s="1" t="s">
        <v>80</v>
      </c>
    </row>
    <row r="11" spans="1:8" ht="28.8" x14ac:dyDescent="0.3">
      <c r="A11" s="26" t="s">
        <v>118</v>
      </c>
      <c r="B11" s="14">
        <f>B10</f>
        <v>-2353.0500000000002</v>
      </c>
      <c r="C11" s="14">
        <f t="shared" ref="C11:G11" si="1">C10</f>
        <v>-2447.172</v>
      </c>
      <c r="D11" s="14">
        <f t="shared" si="1"/>
        <v>-2532.8230199999998</v>
      </c>
      <c r="E11" s="14">
        <f t="shared" si="1"/>
        <v>-2608.8077106000001</v>
      </c>
      <c r="F11" s="14">
        <f t="shared" si="1"/>
        <v>-2687.071941918</v>
      </c>
      <c r="G11" s="14">
        <f t="shared" si="1"/>
        <v>-2687.071941918</v>
      </c>
      <c r="H11" s="1" t="s">
        <v>40</v>
      </c>
    </row>
    <row r="12" spans="1:8" x14ac:dyDescent="0.3">
      <c r="A12" s="26" t="s">
        <v>119</v>
      </c>
      <c r="B12" s="14"/>
      <c r="C12" s="14"/>
      <c r="D12" s="14"/>
      <c r="E12" s="14"/>
      <c r="F12" s="14"/>
      <c r="G12" s="14"/>
      <c r="H12" s="1"/>
    </row>
    <row r="13" spans="1:8" x14ac:dyDescent="0.3">
      <c r="A13" s="9" t="s">
        <v>120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" t="s">
        <v>104</v>
      </c>
    </row>
    <row r="14" spans="1:8" x14ac:dyDescent="0.3">
      <c r="A14" s="9" t="s">
        <v>121</v>
      </c>
      <c r="B14" s="34">
        <f>-'Income statement forecasting'!B17*40%</f>
        <v>-3122.9193599999999</v>
      </c>
      <c r="C14" s="34">
        <f>-'Income statement forecasting'!C17*40%</f>
        <v>-3269.2978944000006</v>
      </c>
      <c r="D14" s="34">
        <f>-'Income statement forecasting'!D17*40%</f>
        <v>-3402.5023607039993</v>
      </c>
      <c r="E14" s="34">
        <f>-'Income statement forecasting'!E17*40%</f>
        <v>-3520.6737515251198</v>
      </c>
      <c r="F14" s="34">
        <f>-'Income statement forecasting'!F17*40%</f>
        <v>-3642.3902840708733</v>
      </c>
      <c r="G14" s="34">
        <f>-'Income statement forecasting'!G17*40%</f>
        <v>-3642.3902840708733</v>
      </c>
      <c r="H14" s="1" t="s">
        <v>80</v>
      </c>
    </row>
    <row r="15" spans="1:8" ht="28.8" x14ac:dyDescent="0.3">
      <c r="A15" s="26" t="s">
        <v>122</v>
      </c>
      <c r="B15" s="34">
        <f>B14</f>
        <v>-3122.9193599999999</v>
      </c>
      <c r="C15" s="34">
        <f t="shared" ref="C15:G15" si="2">C14</f>
        <v>-3269.2978944000006</v>
      </c>
      <c r="D15" s="34">
        <f t="shared" si="2"/>
        <v>-3402.5023607039993</v>
      </c>
      <c r="E15" s="34">
        <f t="shared" si="2"/>
        <v>-3520.6737515251198</v>
      </c>
      <c r="F15" s="34">
        <f t="shared" si="2"/>
        <v>-3642.3902840708733</v>
      </c>
      <c r="G15" s="34">
        <f t="shared" si="2"/>
        <v>-3642.3902840708733</v>
      </c>
      <c r="H15" s="1" t="s">
        <v>40</v>
      </c>
    </row>
    <row r="16" spans="1:8" ht="28.8" x14ac:dyDescent="0.3">
      <c r="A16" s="26" t="s">
        <v>123</v>
      </c>
      <c r="B16" s="34">
        <f>B8+B11+B15</f>
        <v>5078.3190399999985</v>
      </c>
      <c r="C16" s="34">
        <f t="shared" ref="C16:G16" si="3">C8+C11+C15</f>
        <v>4173.1080416000004</v>
      </c>
      <c r="D16" s="34">
        <f t="shared" si="3"/>
        <v>5310.8843330559985</v>
      </c>
      <c r="E16" s="34">
        <f t="shared" si="3"/>
        <v>5233.8475430476801</v>
      </c>
      <c r="F16" s="34">
        <f t="shared" si="3"/>
        <v>5322.7666493391089</v>
      </c>
      <c r="G16" s="34">
        <f t="shared" si="3"/>
        <v>5320.6566493391083</v>
      </c>
      <c r="H16" s="1" t="s">
        <v>40</v>
      </c>
    </row>
    <row r="17" spans="1:8" x14ac:dyDescent="0.3">
      <c r="A17" s="9" t="s">
        <v>124</v>
      </c>
      <c r="B17" s="27">
        <v>9366</v>
      </c>
      <c r="C17" s="27">
        <v>10828</v>
      </c>
      <c r="D17" s="34">
        <f>C18</f>
        <v>15001.1080416</v>
      </c>
      <c r="E17" s="34">
        <f t="shared" ref="E17:G17" si="4">D18</f>
        <v>20311.992374655998</v>
      </c>
      <c r="F17" s="34">
        <f t="shared" si="4"/>
        <v>25545.839917703677</v>
      </c>
      <c r="G17" s="34">
        <f t="shared" si="4"/>
        <v>30868.606567042785</v>
      </c>
      <c r="H17" s="1" t="s">
        <v>102</v>
      </c>
    </row>
    <row r="18" spans="1:8" ht="28.8" x14ac:dyDescent="0.3">
      <c r="A18" s="26" t="s">
        <v>125</v>
      </c>
      <c r="B18" s="27">
        <f>B17+B16</f>
        <v>14444.319039999998</v>
      </c>
      <c r="C18" s="27">
        <f t="shared" ref="C18:G18" si="5">C17+C16</f>
        <v>15001.1080416</v>
      </c>
      <c r="D18" s="27">
        <f t="shared" si="5"/>
        <v>20311.992374655998</v>
      </c>
      <c r="E18" s="27">
        <f t="shared" si="5"/>
        <v>25545.839917703677</v>
      </c>
      <c r="F18" s="27">
        <f t="shared" si="5"/>
        <v>30868.606567042785</v>
      </c>
      <c r="G18" s="27">
        <f t="shared" si="5"/>
        <v>36189.263216381893</v>
      </c>
      <c r="H18" s="1" t="s">
        <v>126</v>
      </c>
    </row>
    <row r="21" spans="1:8" x14ac:dyDescent="0.3">
      <c r="B21" s="63"/>
      <c r="C21" s="63"/>
      <c r="D21" s="63"/>
      <c r="E21" s="63"/>
      <c r="F21" s="63"/>
      <c r="G21" s="63"/>
    </row>
  </sheetData>
  <mergeCells count="1">
    <mergeCell ref="B21:G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1745-21FE-4408-8BC8-DFF25B41BE2C}">
  <dimension ref="A1:S24"/>
  <sheetViews>
    <sheetView workbookViewId="0">
      <selection activeCell="B15" sqref="B15"/>
    </sheetView>
  </sheetViews>
  <sheetFormatPr defaultRowHeight="14.4" x14ac:dyDescent="0.3"/>
  <cols>
    <col min="1" max="1" width="32" customWidth="1"/>
    <col min="3" max="3" width="9.5546875" bestFit="1" customWidth="1"/>
    <col min="4" max="4" width="10.21875" customWidth="1"/>
    <col min="7" max="7" width="11.21875" bestFit="1" customWidth="1"/>
    <col min="9" max="9" width="20.21875" bestFit="1" customWidth="1"/>
  </cols>
  <sheetData>
    <row r="1" spans="1:19" ht="28.8" x14ac:dyDescent="0.3">
      <c r="A1" s="2" t="s">
        <v>16</v>
      </c>
      <c r="B1" s="4" t="s">
        <v>81</v>
      </c>
      <c r="C1" s="4" t="s">
        <v>82</v>
      </c>
      <c r="D1" s="4" t="s">
        <v>83</v>
      </c>
      <c r="E1" s="4" t="s">
        <v>84</v>
      </c>
      <c r="F1" s="4" t="s">
        <v>85</v>
      </c>
    </row>
    <row r="2" spans="1:19" x14ac:dyDescent="0.3">
      <c r="A2" s="1" t="s">
        <v>132</v>
      </c>
      <c r="B2" s="38">
        <f>'Income statement forecasting'!C11</f>
        <v>11746.4256</v>
      </c>
      <c r="C2" s="38">
        <f>'Income statement forecasting'!D11</f>
        <v>12157.550495999998</v>
      </c>
      <c r="D2" s="38">
        <f>'Income statement forecasting'!E11</f>
        <v>12522.277010879998</v>
      </c>
      <c r="E2" s="38">
        <f>'Income statement forecasting'!F11</f>
        <v>12897.945321206398</v>
      </c>
      <c r="F2" s="38">
        <f>'Income statement forecasting'!G11</f>
        <v>12897.945321206398</v>
      </c>
    </row>
    <row r="3" spans="1:19" x14ac:dyDescent="0.3">
      <c r="A3" s="1" t="s">
        <v>133</v>
      </c>
      <c r="B3" s="23">
        <f>'Income statement forecasting'!B16</f>
        <v>1831.3415999999997</v>
      </c>
      <c r="C3" s="23">
        <f>'Income statement forecasting'!C16</f>
        <v>1917.1808639999999</v>
      </c>
      <c r="D3" s="23">
        <f>'Income statement forecasting'!D16</f>
        <v>1995.2945942399997</v>
      </c>
      <c r="E3" s="23">
        <f>'Income statement forecasting'!E16</f>
        <v>2064.5926320671992</v>
      </c>
      <c r="F3" s="23">
        <f>'Income statement forecasting'!F16</f>
        <v>2135.9696110292157</v>
      </c>
    </row>
    <row r="4" spans="1:19" x14ac:dyDescent="0.3">
      <c r="A4" s="1" t="s">
        <v>134</v>
      </c>
      <c r="B4" s="23">
        <f>B2*(1-'Income statement forecasting'!B15)</f>
        <v>9514.6047360000011</v>
      </c>
      <c r="C4" s="23">
        <f>C2*(1-'Income statement forecasting'!C15)</f>
        <v>9847.6159017599985</v>
      </c>
      <c r="D4" s="23">
        <f>D2*(1-'Income statement forecasting'!D15)</f>
        <v>10143.0443788128</v>
      </c>
      <c r="E4" s="23">
        <f>E2*(1-'Income statement forecasting'!E15)</f>
        <v>10447.335710177184</v>
      </c>
      <c r="F4" s="23">
        <f>F2*(1-'Income statement forecasting'!F15)</f>
        <v>10447.335710177184</v>
      </c>
      <c r="I4" s="64" t="s">
        <v>199</v>
      </c>
      <c r="J4" s="63"/>
      <c r="K4" s="63"/>
      <c r="L4" s="63"/>
      <c r="M4" s="63"/>
      <c r="N4" s="63"/>
      <c r="O4" s="63"/>
      <c r="P4" s="63"/>
    </row>
    <row r="5" spans="1:19" x14ac:dyDescent="0.3">
      <c r="A5" s="1" t="s">
        <v>135</v>
      </c>
      <c r="B5" s="23">
        <f>'Income statement forecasting'!C9</f>
        <v>1468.3032000000001</v>
      </c>
      <c r="C5" s="23">
        <f>'Income statement forecasting'!D9</f>
        <v>1519.6938119999998</v>
      </c>
      <c r="D5" s="23">
        <f>'Income statement forecasting'!E9</f>
        <v>1565.2846263599997</v>
      </c>
      <c r="E5" s="23">
        <f>'Income statement forecasting'!F9</f>
        <v>1612.2431651507998</v>
      </c>
      <c r="F5" s="23">
        <f>'Income statement forecasting'!G9</f>
        <v>1612.2431651507998</v>
      </c>
      <c r="I5" s="63"/>
      <c r="J5" s="63"/>
      <c r="K5" s="63"/>
      <c r="L5" s="63"/>
      <c r="M5" s="63"/>
      <c r="N5" s="63"/>
      <c r="O5" s="63"/>
      <c r="P5" s="63"/>
    </row>
    <row r="6" spans="1:19" x14ac:dyDescent="0.3">
      <c r="A6" s="1" t="s">
        <v>136</v>
      </c>
      <c r="B6" s="23">
        <f>'Cash flow forcasting'!C10</f>
        <v>-2447.172</v>
      </c>
      <c r="C6" s="23">
        <f>'Cash flow forcasting'!D10</f>
        <v>-2532.8230199999998</v>
      </c>
      <c r="D6" s="23">
        <f>'Cash flow forcasting'!E10</f>
        <v>-2608.8077106000001</v>
      </c>
      <c r="E6" s="23">
        <f>'Cash flow forcasting'!F10</f>
        <v>-2687.071941918</v>
      </c>
      <c r="F6" s="23">
        <f>'Cash flow forcasting'!G10</f>
        <v>-2687.071941918</v>
      </c>
      <c r="I6" s="63"/>
      <c r="J6" s="63"/>
      <c r="K6" s="63"/>
      <c r="L6" s="63"/>
      <c r="M6" s="63"/>
      <c r="N6" s="63"/>
      <c r="O6" s="63"/>
      <c r="P6" s="63"/>
    </row>
    <row r="7" spans="1:19" x14ac:dyDescent="0.3">
      <c r="A7" s="1" t="s">
        <v>137</v>
      </c>
      <c r="B7" s="39">
        <v>3770</v>
      </c>
      <c r="C7" s="40">
        <v>3753</v>
      </c>
      <c r="D7" s="40">
        <v>4576</v>
      </c>
      <c r="E7" s="40">
        <v>4365</v>
      </c>
      <c r="F7" s="40">
        <v>4223</v>
      </c>
      <c r="I7" s="63"/>
      <c r="J7" s="63"/>
      <c r="K7" s="63"/>
      <c r="L7" s="63"/>
      <c r="M7" s="63"/>
      <c r="N7" s="63"/>
      <c r="O7" s="63"/>
      <c r="P7" s="63"/>
    </row>
    <row r="8" spans="1:19" x14ac:dyDescent="0.3">
      <c r="A8" s="22" t="s">
        <v>138</v>
      </c>
      <c r="B8" s="23">
        <f>B2-B3+B5+B6-B7</f>
        <v>5166.2152000000006</v>
      </c>
      <c r="C8" s="23">
        <f t="shared" ref="C8:F8" si="0">C2-C3+C5+C6-C7</f>
        <v>5474.2404239999978</v>
      </c>
      <c r="D8" s="23">
        <f t="shared" si="0"/>
        <v>4907.4593323999979</v>
      </c>
      <c r="E8" s="23">
        <f t="shared" si="0"/>
        <v>5393.5239123719984</v>
      </c>
      <c r="F8" s="23">
        <f t="shared" si="0"/>
        <v>5464.146933409982</v>
      </c>
      <c r="I8" s="63"/>
      <c r="J8" s="63"/>
      <c r="K8" s="63"/>
      <c r="L8" s="63"/>
      <c r="M8" s="63"/>
      <c r="N8" s="63"/>
      <c r="O8" s="63"/>
      <c r="P8" s="63"/>
    </row>
    <row r="9" spans="1:19" ht="43.2" x14ac:dyDescent="0.3">
      <c r="A9" s="1" t="s">
        <v>141</v>
      </c>
      <c r="B9" s="41">
        <v>0.08</v>
      </c>
      <c r="C9" s="41">
        <v>0.08</v>
      </c>
      <c r="D9" s="41">
        <v>0.08</v>
      </c>
      <c r="E9" s="41">
        <v>0.08</v>
      </c>
      <c r="F9" s="41">
        <v>0.08</v>
      </c>
      <c r="G9" t="s">
        <v>139</v>
      </c>
      <c r="I9" s="63"/>
      <c r="J9" s="63"/>
      <c r="K9" s="63"/>
      <c r="L9" s="63"/>
      <c r="M9" s="63"/>
      <c r="N9" s="63"/>
      <c r="O9" s="63"/>
      <c r="P9" s="63"/>
    </row>
    <row r="10" spans="1:19" x14ac:dyDescent="0.3">
      <c r="A10" s="1" t="s">
        <v>140</v>
      </c>
      <c r="B10">
        <f>1/(1+8%)^1</f>
        <v>0.92592592592592582</v>
      </c>
      <c r="C10">
        <f>1/(1+8%)^2</f>
        <v>0.85733882030178321</v>
      </c>
      <c r="D10">
        <f>1/(1+8%)^3</f>
        <v>0.79383224102016958</v>
      </c>
      <c r="E10">
        <f>1/(1+8%)^4</f>
        <v>0.73502985279645328</v>
      </c>
      <c r="F10">
        <f>1/(1+8%)^5</f>
        <v>0.68058319703375303</v>
      </c>
      <c r="I10" s="63"/>
      <c r="J10" s="63"/>
      <c r="K10" s="63"/>
      <c r="L10" s="63"/>
      <c r="M10" s="63"/>
      <c r="N10" s="63"/>
      <c r="O10" s="63"/>
      <c r="P10" s="63"/>
      <c r="Q10" s="4"/>
      <c r="R10" s="4"/>
      <c r="S10" s="4"/>
    </row>
    <row r="11" spans="1:19" x14ac:dyDescent="0.3">
      <c r="A11" s="1" t="s">
        <v>146</v>
      </c>
      <c r="B11">
        <f>B8*B10</f>
        <v>4783.5325925925927</v>
      </c>
      <c r="C11">
        <f t="shared" ref="C11:F11" si="1">C8*C10</f>
        <v>4693.2788271604913</v>
      </c>
      <c r="D11">
        <f t="shared" si="1"/>
        <v>3895.6994395544357</v>
      </c>
      <c r="E11">
        <f t="shared" si="1"/>
        <v>3964.4010873649408</v>
      </c>
      <c r="F11">
        <f t="shared" si="1"/>
        <v>3718.8065890023431</v>
      </c>
      <c r="I11" s="63"/>
      <c r="J11" s="63"/>
      <c r="K11" s="63"/>
      <c r="L11" s="63"/>
      <c r="M11" s="63"/>
      <c r="N11" s="63"/>
      <c r="O11" s="63"/>
      <c r="P11" s="63"/>
      <c r="Q11" s="38"/>
      <c r="R11" s="38"/>
      <c r="S11" s="38"/>
    </row>
    <row r="12" spans="1:19" x14ac:dyDescent="0.3">
      <c r="A12" s="1" t="s">
        <v>142</v>
      </c>
      <c r="B12" s="42">
        <v>2.5000000000000001E-2</v>
      </c>
      <c r="C12" s="42">
        <v>2.5000000000000001E-2</v>
      </c>
      <c r="D12" s="42">
        <v>2.5000000000000001E-2</v>
      </c>
      <c r="E12" s="42">
        <v>2.5000000000000001E-2</v>
      </c>
      <c r="F12" s="42">
        <v>2.5000000000000001E-2</v>
      </c>
      <c r="G12" t="s">
        <v>80</v>
      </c>
      <c r="I12" s="63"/>
      <c r="J12" s="63"/>
      <c r="K12" s="63"/>
      <c r="L12" s="63"/>
      <c r="M12" s="63"/>
      <c r="N12" s="63"/>
      <c r="O12" s="63"/>
      <c r="P12" s="63"/>
      <c r="Q12" s="23"/>
      <c r="R12" s="23"/>
      <c r="S12" s="23"/>
    </row>
    <row r="13" spans="1:19" ht="43.2" x14ac:dyDescent="0.3">
      <c r="A13" s="1" t="s">
        <v>143</v>
      </c>
      <c r="B13">
        <f>F8*(1+B12)/(8%-2.5%)</f>
        <v>101831.82921354966</v>
      </c>
      <c r="G13">
        <f>F8*(1+0.02)/(0.07-0.02)</f>
        <v>111468.59744156363</v>
      </c>
      <c r="I13" s="63"/>
      <c r="J13" s="63"/>
      <c r="K13" s="63"/>
      <c r="L13" s="63"/>
      <c r="M13" s="63"/>
      <c r="N13" s="63"/>
      <c r="O13" s="63"/>
      <c r="P13" s="63"/>
      <c r="Q13" s="23"/>
      <c r="R13" s="23"/>
      <c r="S13" s="23"/>
    </row>
    <row r="14" spans="1:19" x14ac:dyDescent="0.3">
      <c r="A14" s="1" t="s">
        <v>144</v>
      </c>
      <c r="B14">
        <f>B13/(1+B9)^5</f>
        <v>69305.031885952747</v>
      </c>
      <c r="G14">
        <f>G13/(1+0.07)^5</f>
        <v>79475.569422263463</v>
      </c>
      <c r="I14" s="63"/>
      <c r="J14" s="63"/>
      <c r="K14" s="63"/>
      <c r="L14" s="63"/>
      <c r="M14" s="63"/>
      <c r="N14" s="63"/>
      <c r="O14" s="63"/>
      <c r="P14" s="63"/>
      <c r="Q14" s="23"/>
      <c r="R14" s="23"/>
      <c r="S14" s="23"/>
    </row>
    <row r="15" spans="1:19" x14ac:dyDescent="0.3">
      <c r="A15" s="1" t="s">
        <v>145</v>
      </c>
      <c r="B15">
        <f>SUM(B11:F11)+B14</f>
        <v>90360.750421627556</v>
      </c>
      <c r="G15">
        <f>SUM(B11:F11)+G14</f>
        <v>100531.28795793827</v>
      </c>
      <c r="I15" s="63"/>
      <c r="J15" s="63"/>
      <c r="K15" s="63"/>
      <c r="L15" s="63"/>
      <c r="M15" s="63"/>
      <c r="N15" s="63"/>
      <c r="O15" s="63"/>
      <c r="P15" s="63"/>
      <c r="Q15" s="23"/>
      <c r="R15" s="23"/>
      <c r="S15" s="23"/>
    </row>
    <row r="16" spans="1:19" x14ac:dyDescent="0.3">
      <c r="A16" s="1" t="s">
        <v>147</v>
      </c>
      <c r="B16" s="24">
        <f>B15-('Balance sheet forecasting'!B15+'Balance sheet forecasting'!B12)+'Balance sheet forecasting'!B2</f>
        <v>57314.750421627556</v>
      </c>
      <c r="G16" s="24">
        <f>G15-('Balance sheet forecasting'!B12+'Balance sheet forecasting'!B15)+'Balance sheet forecasting'!B2</f>
        <v>67485.287957938272</v>
      </c>
      <c r="I16" s="63"/>
      <c r="J16" s="63"/>
      <c r="K16" s="63"/>
      <c r="L16" s="63"/>
      <c r="M16" s="63"/>
      <c r="N16" s="63"/>
      <c r="O16" s="63"/>
      <c r="P16" s="63"/>
      <c r="Q16" s="40"/>
      <c r="R16" s="40"/>
      <c r="S16" s="40"/>
    </row>
    <row r="17" spans="1:19" x14ac:dyDescent="0.3">
      <c r="A17" s="1" t="s">
        <v>148</v>
      </c>
      <c r="B17">
        <f>B16/E19</f>
        <v>13.298085944693169</v>
      </c>
      <c r="G17">
        <f>G16/'ratio analysis'!B8</f>
        <v>2437.9839612711694</v>
      </c>
      <c r="I17" s="63"/>
      <c r="J17" s="63"/>
      <c r="K17" s="63"/>
      <c r="L17" s="63"/>
      <c r="M17" s="63"/>
      <c r="N17" s="63"/>
      <c r="O17" s="63"/>
      <c r="P17" s="63"/>
      <c r="Q17" s="23"/>
      <c r="R17" s="23"/>
      <c r="S17" s="23"/>
    </row>
    <row r="18" spans="1:19" x14ac:dyDescent="0.3">
      <c r="I18" s="63"/>
      <c r="J18" s="63"/>
      <c r="K18" s="63"/>
      <c r="L18" s="63"/>
      <c r="M18" s="63"/>
      <c r="N18" s="63"/>
      <c r="O18" s="63"/>
      <c r="P18" s="63"/>
      <c r="Q18" s="41"/>
      <c r="R18" s="41"/>
      <c r="S18" s="41"/>
    </row>
    <row r="19" spans="1:19" ht="57.6" x14ac:dyDescent="0.3">
      <c r="D19" s="49" t="s">
        <v>168</v>
      </c>
      <c r="E19">
        <f>4310</f>
        <v>4310</v>
      </c>
      <c r="I19" s="63"/>
      <c r="J19" s="63"/>
      <c r="K19" s="63"/>
      <c r="L19" s="63"/>
      <c r="M19" s="63"/>
      <c r="N19" s="63"/>
      <c r="O19" s="63"/>
      <c r="P19" s="63"/>
    </row>
    <row r="20" spans="1:19" x14ac:dyDescent="0.3">
      <c r="K20" s="1"/>
      <c r="M20" s="30"/>
      <c r="N20" s="1"/>
    </row>
    <row r="21" spans="1:19" x14ac:dyDescent="0.3">
      <c r="K21" s="22"/>
      <c r="L21" s="32"/>
      <c r="M21" s="32"/>
      <c r="N21" s="1"/>
      <c r="O21" s="42"/>
      <c r="P21" s="42"/>
      <c r="Q21" s="42"/>
      <c r="R21" s="42"/>
      <c r="S21" s="42"/>
    </row>
    <row r="22" spans="1:19" x14ac:dyDescent="0.3">
      <c r="N22" s="1"/>
    </row>
    <row r="23" spans="1:19" x14ac:dyDescent="0.3">
      <c r="N23" s="1"/>
    </row>
    <row r="24" spans="1:19" x14ac:dyDescent="0.3">
      <c r="N24" s="1"/>
    </row>
  </sheetData>
  <mergeCells count="1">
    <mergeCell ref="I4:P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2FE8-BF4F-483C-B81D-70E24F6F4E2D}">
  <dimension ref="A1:L18"/>
  <sheetViews>
    <sheetView workbookViewId="0">
      <selection activeCell="B14" sqref="B14:D16"/>
    </sheetView>
  </sheetViews>
  <sheetFormatPr defaultRowHeight="14.4" x14ac:dyDescent="0.3"/>
  <cols>
    <col min="1" max="1" width="11.5546875" bestFit="1" customWidth="1"/>
    <col min="11" max="11" width="19.109375" bestFit="1" customWidth="1"/>
  </cols>
  <sheetData>
    <row r="1" spans="1:12" x14ac:dyDescent="0.3">
      <c r="A1" s="65" t="s">
        <v>150</v>
      </c>
      <c r="B1" s="66"/>
      <c r="C1" s="66"/>
      <c r="D1" s="66"/>
      <c r="E1" s="66"/>
      <c r="F1" s="66"/>
      <c r="G1" s="66"/>
      <c r="H1" s="66"/>
      <c r="I1" s="66"/>
      <c r="J1" s="66"/>
    </row>
    <row r="2" spans="1:12" x14ac:dyDescent="0.3">
      <c r="A2" s="66"/>
      <c r="B2" s="66"/>
      <c r="C2" s="66"/>
      <c r="D2" s="66"/>
      <c r="E2" s="66"/>
      <c r="F2" s="66"/>
      <c r="G2" s="66"/>
      <c r="H2" s="66"/>
      <c r="I2" s="66"/>
      <c r="J2" s="66"/>
    </row>
    <row r="3" spans="1:12" x14ac:dyDescent="0.3">
      <c r="A3" s="66"/>
      <c r="B3" s="66"/>
      <c r="C3" s="66"/>
      <c r="D3" s="66"/>
      <c r="E3" s="66"/>
      <c r="F3" s="66"/>
      <c r="G3" s="66"/>
      <c r="H3" s="66"/>
      <c r="I3" s="66"/>
      <c r="J3" s="66"/>
    </row>
    <row r="4" spans="1:12" x14ac:dyDescent="0.3">
      <c r="A4" s="67" t="s">
        <v>149</v>
      </c>
      <c r="B4" s="68"/>
      <c r="C4" s="68"/>
      <c r="D4" s="68"/>
      <c r="E4" s="68"/>
      <c r="F4" s="68"/>
      <c r="G4" s="68"/>
      <c r="H4" s="68"/>
      <c r="I4" s="68"/>
      <c r="J4" s="68"/>
    </row>
    <row r="5" spans="1:12" x14ac:dyDescent="0.3">
      <c r="A5" s="68"/>
      <c r="B5" s="68"/>
      <c r="C5" s="68"/>
      <c r="D5" s="68"/>
      <c r="E5" s="68"/>
      <c r="F5" s="68"/>
      <c r="G5" s="68"/>
      <c r="H5" s="68"/>
      <c r="I5" s="68"/>
      <c r="J5" s="68"/>
    </row>
    <row r="6" spans="1:12" x14ac:dyDescent="0.3">
      <c r="A6" s="68"/>
      <c r="B6" s="68"/>
      <c r="C6" s="68"/>
      <c r="D6" s="68"/>
      <c r="E6" s="68"/>
      <c r="F6" s="68"/>
      <c r="G6" s="68"/>
      <c r="H6" s="68"/>
      <c r="I6" s="68"/>
      <c r="J6" s="68"/>
    </row>
    <row r="7" spans="1:12" x14ac:dyDescent="0.3">
      <c r="A7" s="68"/>
      <c r="B7" s="68"/>
      <c r="C7" s="68"/>
      <c r="D7" s="68"/>
      <c r="E7" s="68"/>
      <c r="F7" s="68"/>
      <c r="G7" s="68"/>
      <c r="H7" s="68"/>
      <c r="I7" s="68"/>
      <c r="J7" s="68"/>
    </row>
    <row r="8" spans="1:12" x14ac:dyDescent="0.3">
      <c r="A8" s="68"/>
      <c r="B8" s="68"/>
      <c r="C8" s="68"/>
      <c r="D8" s="68"/>
      <c r="E8" s="68"/>
      <c r="F8" s="68"/>
      <c r="G8" s="68"/>
      <c r="H8" s="68"/>
      <c r="I8" s="68"/>
      <c r="J8" s="68"/>
    </row>
    <row r="9" spans="1:12" x14ac:dyDescent="0.3">
      <c r="A9" s="68"/>
      <c r="B9" s="68"/>
      <c r="C9" s="68"/>
      <c r="D9" s="68"/>
      <c r="E9" s="68"/>
      <c r="F9" s="68"/>
      <c r="G9" s="68"/>
      <c r="H9" s="68"/>
      <c r="I9" s="68"/>
      <c r="J9" s="68"/>
    </row>
    <row r="12" spans="1:12" x14ac:dyDescent="0.3">
      <c r="A12" s="2"/>
      <c r="B12" s="2"/>
      <c r="C12" s="2"/>
      <c r="D12" s="2"/>
    </row>
    <row r="13" spans="1:12" x14ac:dyDescent="0.3">
      <c r="A13" s="43">
        <f>'Dcf Valuation'!B17</f>
        <v>13.298085944693169</v>
      </c>
      <c r="B13" s="44">
        <v>7.0000000000000007E-2</v>
      </c>
      <c r="C13" s="44">
        <v>0.08</v>
      </c>
      <c r="D13" s="44">
        <v>0.09</v>
      </c>
    </row>
    <row r="14" spans="1:12" x14ac:dyDescent="0.3">
      <c r="A14" s="44">
        <v>0.02</v>
      </c>
      <c r="B14" s="43">
        <f>'Dcf Valuation'!G17</f>
        <v>2437.9839612711694</v>
      </c>
      <c r="C14" s="45">
        <v>1850.7</v>
      </c>
      <c r="D14" s="45">
        <v>1436.3</v>
      </c>
    </row>
    <row r="15" spans="1:12" x14ac:dyDescent="0.3">
      <c r="A15" s="16">
        <v>2.5000000000000001E-2</v>
      </c>
      <c r="B15" s="46">
        <v>2772.6</v>
      </c>
      <c r="C15" s="46">
        <v>2070.6</v>
      </c>
      <c r="D15" s="46">
        <v>1590</v>
      </c>
      <c r="L15" s="41"/>
    </row>
    <row r="16" spans="1:12" x14ac:dyDescent="0.3">
      <c r="A16" s="44">
        <v>0.03</v>
      </c>
      <c r="B16" s="46">
        <v>3191</v>
      </c>
      <c r="C16" s="46">
        <v>2334.4</v>
      </c>
      <c r="D16" s="45">
        <v>1769.2</v>
      </c>
      <c r="L16" s="42"/>
    </row>
    <row r="17" spans="1:12" x14ac:dyDescent="0.3">
      <c r="A17" s="69" t="s">
        <v>151</v>
      </c>
      <c r="B17" s="69"/>
      <c r="C17" s="69"/>
      <c r="D17" s="69"/>
      <c r="L17" s="41"/>
    </row>
    <row r="18" spans="1:12" x14ac:dyDescent="0.3">
      <c r="A18" s="69"/>
      <c r="B18" s="69"/>
      <c r="C18" s="69"/>
      <c r="D18" s="69"/>
      <c r="L18" s="42"/>
    </row>
  </sheetData>
  <mergeCells count="3">
    <mergeCell ref="A1:J3"/>
    <mergeCell ref="A4:J9"/>
    <mergeCell ref="A17:D1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6912-4BC1-4124-924B-05EA1BFCED59}">
  <dimension ref="A1:W31"/>
  <sheetViews>
    <sheetView zoomScale="64" workbookViewId="0">
      <selection activeCell="D10" sqref="D10:K31"/>
    </sheetView>
  </sheetViews>
  <sheetFormatPr defaultRowHeight="14.4" x14ac:dyDescent="0.3"/>
  <cols>
    <col min="1" max="1" width="12.6640625" customWidth="1"/>
    <col min="2" max="2" width="13.109375" customWidth="1"/>
    <col min="3" max="3" width="14.88671875" customWidth="1"/>
    <col min="4" max="4" width="15.109375" customWidth="1"/>
    <col min="5" max="5" width="14.44140625" customWidth="1"/>
    <col min="7" max="7" width="14.6640625" customWidth="1"/>
    <col min="8" max="8" width="14.21875" customWidth="1"/>
    <col min="9" max="9" width="14.33203125" customWidth="1"/>
    <col min="10" max="10" width="12.109375" customWidth="1"/>
    <col min="11" max="11" width="15.33203125" customWidth="1"/>
  </cols>
  <sheetData>
    <row r="1" spans="1:11" ht="28.8" x14ac:dyDescent="0.3">
      <c r="A1" s="5" t="s">
        <v>152</v>
      </c>
      <c r="B1" s="6" t="s">
        <v>153</v>
      </c>
      <c r="C1" s="6" t="s">
        <v>154</v>
      </c>
      <c r="D1" s="6" t="s">
        <v>155</v>
      </c>
      <c r="E1" s="6" t="s">
        <v>156</v>
      </c>
      <c r="F1" s="6" t="s">
        <v>157</v>
      </c>
      <c r="G1" s="6" t="s">
        <v>158</v>
      </c>
      <c r="H1" s="6" t="s">
        <v>159</v>
      </c>
      <c r="I1" s="6" t="s">
        <v>160</v>
      </c>
      <c r="J1" s="6" t="s">
        <v>161</v>
      </c>
      <c r="K1" s="6" t="s">
        <v>162</v>
      </c>
    </row>
    <row r="2" spans="1:11" x14ac:dyDescent="0.3">
      <c r="A2" s="9" t="s">
        <v>169</v>
      </c>
      <c r="B2" s="14">
        <v>109.08</v>
      </c>
      <c r="C2" s="14">
        <v>1.37</v>
      </c>
      <c r="D2" s="14">
        <v>189.02</v>
      </c>
      <c r="E2" s="14">
        <v>37.223999999999997</v>
      </c>
      <c r="F2" s="14">
        <v>9.5299999999999994</v>
      </c>
      <c r="G2" s="50">
        <v>216.714</v>
      </c>
      <c r="H2" s="14">
        <v>93.924999999999997</v>
      </c>
      <c r="I2" s="14">
        <v>15.676</v>
      </c>
      <c r="J2" s="50">
        <v>2.3069999999999999</v>
      </c>
      <c r="K2" s="50">
        <v>13.824</v>
      </c>
    </row>
    <row r="3" spans="1:11" x14ac:dyDescent="0.3">
      <c r="A3" s="9" t="s">
        <v>163</v>
      </c>
      <c r="B3" s="14">
        <v>72</v>
      </c>
      <c r="C3" s="14">
        <v>4.3099999999999996</v>
      </c>
      <c r="D3" s="14">
        <v>310.32</v>
      </c>
      <c r="E3" s="14">
        <v>3.375</v>
      </c>
      <c r="F3" s="14">
        <v>1.61</v>
      </c>
      <c r="G3" s="50">
        <v>312.08499999999998</v>
      </c>
      <c r="H3" s="14">
        <v>13.416</v>
      </c>
      <c r="I3" s="14">
        <v>2.4950000000000001</v>
      </c>
      <c r="J3" s="50">
        <v>23.263999999999999</v>
      </c>
      <c r="K3" s="50">
        <v>125.084</v>
      </c>
    </row>
    <row r="4" spans="1:11" ht="28.8" x14ac:dyDescent="0.3">
      <c r="A4" s="9" t="s">
        <v>164</v>
      </c>
      <c r="B4" s="14">
        <v>63</v>
      </c>
      <c r="C4" s="14">
        <v>0.97</v>
      </c>
      <c r="D4" s="14">
        <v>61.11</v>
      </c>
      <c r="E4" s="14">
        <v>0.37</v>
      </c>
      <c r="F4" s="14">
        <v>1.68</v>
      </c>
      <c r="G4" s="50">
        <v>59.8</v>
      </c>
      <c r="H4" s="14">
        <v>7.49</v>
      </c>
      <c r="I4" s="14">
        <v>2.31</v>
      </c>
      <c r="J4" s="50">
        <v>7.984</v>
      </c>
      <c r="K4" s="50">
        <v>25.887</v>
      </c>
    </row>
    <row r="5" spans="1:11" ht="28.8" x14ac:dyDescent="0.3">
      <c r="A5" s="9" t="s">
        <v>165</v>
      </c>
      <c r="B5" s="14">
        <v>31.7</v>
      </c>
      <c r="C5" s="14">
        <v>1.36</v>
      </c>
      <c r="D5" s="14">
        <v>43.11</v>
      </c>
      <c r="E5" s="14">
        <v>16.8</v>
      </c>
      <c r="F5" s="14">
        <v>0.49</v>
      </c>
      <c r="G5" s="50">
        <v>59.42</v>
      </c>
      <c r="H5" s="14">
        <v>15.35</v>
      </c>
      <c r="I5" s="14">
        <v>4.1500000000000004</v>
      </c>
      <c r="J5" s="50">
        <v>3.871</v>
      </c>
      <c r="K5" s="50">
        <v>14.318</v>
      </c>
    </row>
    <row r="6" spans="1:11" ht="28.8" x14ac:dyDescent="0.3">
      <c r="A6" s="9" t="s">
        <v>166</v>
      </c>
      <c r="B6" s="14">
        <v>44</v>
      </c>
      <c r="C6" s="14">
        <v>9.4E-2</v>
      </c>
      <c r="D6" s="14">
        <v>4.1399999999999997</v>
      </c>
      <c r="E6" s="14">
        <v>0.06</v>
      </c>
      <c r="F6" s="14">
        <v>0.35</v>
      </c>
      <c r="G6" s="50">
        <v>3.85</v>
      </c>
      <c r="H6" s="14">
        <v>1.19</v>
      </c>
      <c r="I6" s="14">
        <v>0.23</v>
      </c>
      <c r="J6" s="50">
        <v>3.2349999999999999</v>
      </c>
      <c r="K6" s="50">
        <v>16.739000000000001</v>
      </c>
    </row>
    <row r="7" spans="1:11" x14ac:dyDescent="0.3">
      <c r="A7" s="9" t="s">
        <v>170</v>
      </c>
      <c r="B7" s="48">
        <f>AVERAGE(B2:B6)</f>
        <v>63.955999999999996</v>
      </c>
      <c r="C7" s="48">
        <f t="shared" ref="C7:K7" si="0">AVERAGE(C2:C6)</f>
        <v>1.6207999999999998</v>
      </c>
      <c r="D7" s="48">
        <f t="shared" si="0"/>
        <v>121.54</v>
      </c>
      <c r="E7" s="48">
        <f t="shared" si="0"/>
        <v>11.565799999999999</v>
      </c>
      <c r="F7" s="48">
        <f t="shared" si="0"/>
        <v>2.7319999999999998</v>
      </c>
      <c r="G7" s="48">
        <f t="shared" si="0"/>
        <v>130.37379999999999</v>
      </c>
      <c r="H7" s="48">
        <f t="shared" si="0"/>
        <v>26.274199999999997</v>
      </c>
      <c r="I7" s="48">
        <f t="shared" si="0"/>
        <v>4.9722</v>
      </c>
      <c r="J7" s="48">
        <f t="shared" si="0"/>
        <v>8.132200000000001</v>
      </c>
      <c r="K7" s="48">
        <f t="shared" si="0"/>
        <v>39.170400000000008</v>
      </c>
    </row>
    <row r="8" spans="1:11" x14ac:dyDescent="0.3">
      <c r="A8" s="9" t="s">
        <v>167</v>
      </c>
      <c r="B8" s="48">
        <f>MEDIAN(B2:B7)</f>
        <v>63.477999999999994</v>
      </c>
      <c r="C8" s="48">
        <f t="shared" ref="C8:K8" si="1">MEDIAN(C2:C7)</f>
        <v>1.3650000000000002</v>
      </c>
      <c r="D8" s="48">
        <f t="shared" si="1"/>
        <v>91.325000000000003</v>
      </c>
      <c r="E8" s="48">
        <f t="shared" si="1"/>
        <v>7.4703999999999997</v>
      </c>
      <c r="F8" s="48">
        <f t="shared" si="1"/>
        <v>1.645</v>
      </c>
      <c r="G8" s="48">
        <f t="shared" si="1"/>
        <v>95.086899999999986</v>
      </c>
      <c r="H8" s="48">
        <f t="shared" si="1"/>
        <v>14.382999999999999</v>
      </c>
      <c r="I8" s="48">
        <f t="shared" si="1"/>
        <v>3.3225000000000002</v>
      </c>
      <c r="J8" s="48">
        <f t="shared" si="1"/>
        <v>5.9275000000000002</v>
      </c>
      <c r="K8" s="48">
        <f t="shared" si="1"/>
        <v>21.313000000000002</v>
      </c>
    </row>
    <row r="10" spans="1:11" x14ac:dyDescent="0.3">
      <c r="D10" s="64" t="s">
        <v>200</v>
      </c>
      <c r="E10" s="63"/>
      <c r="F10" s="63"/>
      <c r="G10" s="63"/>
      <c r="H10" s="63"/>
      <c r="I10" s="63"/>
      <c r="J10" s="63"/>
      <c r="K10" s="63"/>
    </row>
    <row r="11" spans="1:11" x14ac:dyDescent="0.3">
      <c r="D11" s="63"/>
      <c r="E11" s="63"/>
      <c r="F11" s="63"/>
      <c r="G11" s="63"/>
      <c r="H11" s="63"/>
      <c r="I11" s="63"/>
      <c r="J11" s="63"/>
      <c r="K11" s="63"/>
    </row>
    <row r="12" spans="1:11" x14ac:dyDescent="0.3">
      <c r="D12" s="63"/>
      <c r="E12" s="63"/>
      <c r="F12" s="63"/>
      <c r="G12" s="63"/>
      <c r="H12" s="63"/>
      <c r="I12" s="63"/>
      <c r="J12" s="63"/>
      <c r="K12" s="63"/>
    </row>
    <row r="13" spans="1:11" x14ac:dyDescent="0.3">
      <c r="D13" s="63"/>
      <c r="E13" s="63"/>
      <c r="F13" s="63"/>
      <c r="G13" s="63"/>
      <c r="H13" s="63"/>
      <c r="I13" s="63"/>
      <c r="J13" s="63"/>
      <c r="K13" s="63"/>
    </row>
    <row r="14" spans="1:11" x14ac:dyDescent="0.3">
      <c r="D14" s="63"/>
      <c r="E14" s="63"/>
      <c r="F14" s="63"/>
      <c r="G14" s="63"/>
      <c r="H14" s="63"/>
      <c r="I14" s="63"/>
      <c r="J14" s="63"/>
      <c r="K14" s="63"/>
    </row>
    <row r="15" spans="1:11" x14ac:dyDescent="0.3">
      <c r="D15" s="63"/>
      <c r="E15" s="63"/>
      <c r="F15" s="63"/>
      <c r="G15" s="63"/>
      <c r="H15" s="63"/>
      <c r="I15" s="63"/>
      <c r="J15" s="63"/>
      <c r="K15" s="63"/>
    </row>
    <row r="16" spans="1:11" x14ac:dyDescent="0.3">
      <c r="D16" s="63"/>
      <c r="E16" s="63"/>
      <c r="F16" s="63"/>
      <c r="G16" s="63"/>
      <c r="H16" s="63"/>
      <c r="I16" s="63"/>
      <c r="J16" s="63"/>
      <c r="K16" s="63"/>
    </row>
    <row r="17" spans="4:23" x14ac:dyDescent="0.3">
      <c r="D17" s="63"/>
      <c r="E17" s="63"/>
      <c r="F17" s="63"/>
      <c r="G17" s="63"/>
      <c r="H17" s="63"/>
      <c r="I17" s="63"/>
      <c r="J17" s="63"/>
      <c r="K17" s="6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4:23" x14ac:dyDescent="0.3">
      <c r="D18" s="63"/>
      <c r="E18" s="63"/>
      <c r="F18" s="63"/>
      <c r="G18" s="63"/>
      <c r="H18" s="63"/>
      <c r="I18" s="63"/>
      <c r="J18" s="63"/>
      <c r="K18" s="63"/>
      <c r="L18" s="3"/>
      <c r="M18" s="3"/>
      <c r="N18" s="3"/>
      <c r="O18" s="3"/>
      <c r="P18" s="3"/>
      <c r="Q18" s="3"/>
      <c r="R18" s="3"/>
      <c r="S18" s="3"/>
      <c r="T18" s="4"/>
      <c r="U18" s="4"/>
      <c r="V18" s="4"/>
      <c r="W18" s="4"/>
    </row>
    <row r="19" spans="4:23" x14ac:dyDescent="0.3">
      <c r="D19" s="63"/>
      <c r="E19" s="63"/>
      <c r="F19" s="63"/>
      <c r="G19" s="63"/>
      <c r="H19" s="63"/>
      <c r="I19" s="63"/>
      <c r="J19" s="63"/>
      <c r="K19" s="63"/>
      <c r="L19" s="3"/>
      <c r="M19" s="3"/>
      <c r="N19" s="3"/>
      <c r="O19" s="3"/>
      <c r="P19" s="3"/>
      <c r="Q19" s="3"/>
      <c r="R19" s="3"/>
      <c r="S19" s="3"/>
      <c r="T19" s="4"/>
      <c r="U19" s="4"/>
      <c r="V19" s="4"/>
      <c r="W19" s="4"/>
    </row>
    <row r="20" spans="4:23" x14ac:dyDescent="0.3">
      <c r="D20" s="63"/>
      <c r="E20" s="63"/>
      <c r="F20" s="63"/>
      <c r="G20" s="63"/>
      <c r="H20" s="63"/>
      <c r="I20" s="63"/>
      <c r="J20" s="63"/>
      <c r="K20" s="63"/>
      <c r="L20" s="3"/>
      <c r="M20" s="3"/>
      <c r="N20" s="3"/>
      <c r="O20" s="3"/>
      <c r="P20" s="3"/>
      <c r="Q20" s="3"/>
      <c r="R20" s="3"/>
      <c r="S20" s="3"/>
      <c r="T20" s="4"/>
      <c r="U20" s="4"/>
      <c r="V20" s="4"/>
      <c r="W20" s="4"/>
    </row>
    <row r="21" spans="4:23" x14ac:dyDescent="0.3">
      <c r="D21" s="63"/>
      <c r="E21" s="63"/>
      <c r="F21" s="63"/>
      <c r="G21" s="63"/>
      <c r="H21" s="63"/>
      <c r="I21" s="63"/>
      <c r="J21" s="63"/>
      <c r="K21" s="63"/>
      <c r="L21" s="3"/>
      <c r="M21" s="3"/>
      <c r="N21" s="3"/>
      <c r="O21" s="3"/>
      <c r="P21" s="3"/>
      <c r="Q21" s="3"/>
      <c r="R21" s="3"/>
      <c r="S21" s="3"/>
      <c r="T21" s="4"/>
      <c r="U21" s="4"/>
      <c r="V21" s="4"/>
      <c r="W21" s="4"/>
    </row>
    <row r="22" spans="4:23" x14ac:dyDescent="0.3">
      <c r="D22" s="63"/>
      <c r="E22" s="63"/>
      <c r="F22" s="63"/>
      <c r="G22" s="63"/>
      <c r="H22" s="63"/>
      <c r="I22" s="63"/>
      <c r="J22" s="63"/>
      <c r="K22" s="63"/>
      <c r="L22" s="3"/>
      <c r="M22" s="3"/>
      <c r="N22" s="3"/>
      <c r="O22" s="3"/>
      <c r="P22" s="3"/>
      <c r="Q22" s="3"/>
      <c r="R22" s="3"/>
      <c r="S22" s="3"/>
      <c r="T22" s="4"/>
      <c r="U22" s="4"/>
      <c r="V22" s="4"/>
      <c r="W22" s="4"/>
    </row>
    <row r="23" spans="4:23" x14ac:dyDescent="0.3">
      <c r="D23" s="63"/>
      <c r="E23" s="63"/>
      <c r="F23" s="63"/>
      <c r="G23" s="63"/>
      <c r="H23" s="63"/>
      <c r="I23" s="63"/>
      <c r="J23" s="63"/>
      <c r="K23" s="63"/>
      <c r="O23" s="1"/>
      <c r="P23" s="4"/>
      <c r="Q23" s="4"/>
      <c r="R23" s="4"/>
      <c r="S23" s="4"/>
      <c r="T23" s="4"/>
      <c r="U23" s="47"/>
    </row>
    <row r="24" spans="4:23" x14ac:dyDescent="0.3">
      <c r="D24" s="63"/>
      <c r="E24" s="63"/>
      <c r="F24" s="63"/>
      <c r="G24" s="63"/>
      <c r="H24" s="63"/>
      <c r="I24" s="63"/>
      <c r="J24" s="63"/>
      <c r="K24" s="63"/>
      <c r="O24" s="1"/>
      <c r="P24" s="4"/>
      <c r="Q24" s="4"/>
      <c r="R24" s="4"/>
      <c r="S24" s="4"/>
      <c r="T24" s="4"/>
      <c r="U24" s="47"/>
    </row>
    <row r="25" spans="4:23" x14ac:dyDescent="0.3">
      <c r="D25" s="63"/>
      <c r="E25" s="63"/>
      <c r="F25" s="63"/>
      <c r="G25" s="63"/>
      <c r="H25" s="63"/>
      <c r="I25" s="63"/>
      <c r="J25" s="63"/>
      <c r="K25" s="63"/>
      <c r="O25" s="1"/>
      <c r="P25" s="4"/>
      <c r="Q25" s="4"/>
      <c r="R25" s="4"/>
      <c r="S25" s="4"/>
      <c r="T25" s="4"/>
      <c r="U25" s="4"/>
    </row>
    <row r="26" spans="4:23" x14ac:dyDescent="0.3">
      <c r="D26" s="63"/>
      <c r="E26" s="63"/>
      <c r="F26" s="63"/>
      <c r="G26" s="63"/>
      <c r="H26" s="63"/>
      <c r="I26" s="63"/>
      <c r="J26" s="63"/>
      <c r="K26" s="63"/>
    </row>
    <row r="27" spans="4:23" x14ac:dyDescent="0.3">
      <c r="D27" s="63"/>
      <c r="E27" s="63"/>
      <c r="F27" s="63"/>
      <c r="G27" s="63"/>
      <c r="H27" s="63"/>
      <c r="I27" s="63"/>
      <c r="J27" s="63"/>
      <c r="K27" s="63"/>
    </row>
    <row r="28" spans="4:23" x14ac:dyDescent="0.3">
      <c r="D28" s="63"/>
      <c r="E28" s="63"/>
      <c r="F28" s="63"/>
      <c r="G28" s="63"/>
      <c r="H28" s="63"/>
      <c r="I28" s="63"/>
      <c r="J28" s="63"/>
      <c r="K28" s="63"/>
    </row>
    <row r="29" spans="4:23" x14ac:dyDescent="0.3">
      <c r="D29" s="63"/>
      <c r="E29" s="63"/>
      <c r="F29" s="63"/>
      <c r="G29" s="63"/>
      <c r="H29" s="63"/>
      <c r="I29" s="63"/>
      <c r="J29" s="63"/>
      <c r="K29" s="63"/>
    </row>
    <row r="30" spans="4:23" x14ac:dyDescent="0.3">
      <c r="D30" s="63"/>
      <c r="E30" s="63"/>
      <c r="F30" s="63"/>
      <c r="G30" s="63"/>
      <c r="H30" s="63"/>
      <c r="I30" s="63"/>
      <c r="J30" s="63"/>
      <c r="K30" s="63"/>
    </row>
    <row r="31" spans="4:23" x14ac:dyDescent="0.3">
      <c r="D31" s="63"/>
      <c r="E31" s="63"/>
      <c r="F31" s="63"/>
      <c r="G31" s="63"/>
      <c r="H31" s="63"/>
      <c r="I31" s="63"/>
      <c r="J31" s="63"/>
      <c r="K31" s="63"/>
    </row>
  </sheetData>
  <mergeCells count="1">
    <mergeCell ref="D10:K3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5AD4-4CBE-4E06-BF32-09F7934817CB}">
  <dimension ref="A1:S40"/>
  <sheetViews>
    <sheetView topLeftCell="A23" zoomScale="87" workbookViewId="0">
      <selection activeCell="D39" sqref="D39:D40"/>
    </sheetView>
  </sheetViews>
  <sheetFormatPr defaultRowHeight="14.4" x14ac:dyDescent="0.3"/>
  <cols>
    <col min="1" max="1" width="19.5546875" customWidth="1"/>
    <col min="2" max="2" width="13.33203125" customWidth="1"/>
    <col min="3" max="3" width="13.88671875" customWidth="1"/>
    <col min="5" max="5" width="13.109375" customWidth="1"/>
    <col min="6" max="6" width="12.33203125" customWidth="1"/>
    <col min="7" max="7" width="13.109375" customWidth="1"/>
  </cols>
  <sheetData>
    <row r="1" spans="1:19" ht="28.8" x14ac:dyDescent="0.3">
      <c r="A1" s="2" t="s">
        <v>171</v>
      </c>
      <c r="B1" s="2" t="s">
        <v>172</v>
      </c>
      <c r="C1" s="4" t="s">
        <v>173</v>
      </c>
      <c r="D1" s="4" t="s">
        <v>174</v>
      </c>
      <c r="E1" s="4" t="s">
        <v>175</v>
      </c>
      <c r="F1" s="4" t="s">
        <v>161</v>
      </c>
      <c r="G1" s="4" t="s">
        <v>162</v>
      </c>
    </row>
    <row r="2" spans="1:19" x14ac:dyDescent="0.3">
      <c r="A2" s="1" t="s">
        <v>176</v>
      </c>
      <c r="B2" s="1" t="s">
        <v>177</v>
      </c>
      <c r="C2" s="3">
        <v>2500</v>
      </c>
      <c r="D2" s="3">
        <v>500</v>
      </c>
      <c r="E2" s="3">
        <v>100</v>
      </c>
      <c r="F2">
        <f>C2/D2</f>
        <v>5</v>
      </c>
      <c r="G2">
        <f>C2/E2</f>
        <v>25</v>
      </c>
    </row>
    <row r="3" spans="1:19" ht="28.8" x14ac:dyDescent="0.3">
      <c r="A3" s="1" t="s">
        <v>178</v>
      </c>
      <c r="B3" s="1" t="s">
        <v>179</v>
      </c>
      <c r="C3" s="3">
        <v>1800</v>
      </c>
      <c r="D3" s="3">
        <v>400</v>
      </c>
      <c r="E3" s="3">
        <v>150</v>
      </c>
      <c r="F3">
        <f t="shared" ref="F3:F6" si="0">C3/D3</f>
        <v>4.5</v>
      </c>
      <c r="G3">
        <f t="shared" ref="G3:G6" si="1">C3/E3</f>
        <v>12</v>
      </c>
    </row>
    <row r="4" spans="1:19" ht="28.8" x14ac:dyDescent="0.3">
      <c r="A4" s="1" t="s">
        <v>180</v>
      </c>
      <c r="B4" s="1" t="s">
        <v>181</v>
      </c>
      <c r="C4" s="3">
        <v>1200</v>
      </c>
      <c r="D4" s="3">
        <v>280</v>
      </c>
      <c r="E4" s="3">
        <v>110</v>
      </c>
      <c r="F4">
        <f t="shared" si="0"/>
        <v>4.2857142857142856</v>
      </c>
      <c r="G4">
        <f t="shared" si="1"/>
        <v>10.909090909090908</v>
      </c>
    </row>
    <row r="5" spans="1:19" x14ac:dyDescent="0.3">
      <c r="A5" s="1" t="s">
        <v>182</v>
      </c>
      <c r="B5" s="1" t="s">
        <v>183</v>
      </c>
      <c r="C5" s="3">
        <v>3000</v>
      </c>
      <c r="D5" s="3">
        <v>600</v>
      </c>
      <c r="E5" s="3">
        <v>200</v>
      </c>
      <c r="F5">
        <f t="shared" si="0"/>
        <v>5</v>
      </c>
      <c r="G5">
        <f t="shared" si="1"/>
        <v>15</v>
      </c>
      <c r="M5" s="2"/>
      <c r="N5" s="2"/>
      <c r="O5" s="4"/>
      <c r="P5" s="4"/>
      <c r="Q5" s="4"/>
      <c r="R5" s="4"/>
      <c r="S5" s="4"/>
    </row>
    <row r="6" spans="1:19" x14ac:dyDescent="0.3">
      <c r="A6" s="1" t="s">
        <v>184</v>
      </c>
      <c r="B6" s="1" t="s">
        <v>185</v>
      </c>
      <c r="C6" s="3">
        <v>2200</v>
      </c>
      <c r="D6" s="3">
        <v>440</v>
      </c>
      <c r="E6" s="3">
        <v>180</v>
      </c>
      <c r="F6">
        <f t="shared" si="0"/>
        <v>5</v>
      </c>
      <c r="G6">
        <f t="shared" si="1"/>
        <v>12.222222222222221</v>
      </c>
      <c r="M6" s="1"/>
      <c r="N6" s="1"/>
      <c r="O6" s="3"/>
      <c r="P6" s="3"/>
      <c r="Q6" s="3"/>
    </row>
    <row r="7" spans="1:19" x14ac:dyDescent="0.3">
      <c r="M7" s="1"/>
      <c r="N7" s="1"/>
      <c r="O7" s="3"/>
      <c r="P7" s="3"/>
      <c r="Q7" s="3"/>
    </row>
    <row r="8" spans="1:19" x14ac:dyDescent="0.3">
      <c r="A8" s="2" t="s">
        <v>186</v>
      </c>
      <c r="B8" s="4" t="s">
        <v>161</v>
      </c>
      <c r="C8" s="4" t="s">
        <v>162</v>
      </c>
      <c r="E8" s="2"/>
      <c r="F8" s="4"/>
      <c r="M8" s="1"/>
      <c r="N8" s="1"/>
      <c r="O8" s="3"/>
      <c r="P8" s="3"/>
      <c r="Q8" s="3"/>
    </row>
    <row r="9" spans="1:19" x14ac:dyDescent="0.3">
      <c r="A9" s="1" t="s">
        <v>187</v>
      </c>
      <c r="B9" s="3">
        <f>AVERAGE(F2:F6)</f>
        <v>4.7571428571428571</v>
      </c>
      <c r="C9" s="3">
        <f>AVERAGE(G2:G6)</f>
        <v>15.026262626262627</v>
      </c>
      <c r="E9" s="1"/>
      <c r="F9" s="3"/>
      <c r="M9" s="1"/>
      <c r="N9" s="1"/>
      <c r="O9" s="3"/>
      <c r="P9" s="3"/>
      <c r="Q9" s="3"/>
    </row>
    <row r="10" spans="1:19" x14ac:dyDescent="0.3">
      <c r="A10" s="1" t="s">
        <v>188</v>
      </c>
      <c r="B10" s="3">
        <f>MEDIAN(F2:F6)</f>
        <v>5</v>
      </c>
      <c r="C10" s="3">
        <f>MEDIAN(G2:G6)</f>
        <v>12.222222222222221</v>
      </c>
      <c r="E10" s="1"/>
      <c r="F10" s="3"/>
      <c r="G10" s="64" t="s">
        <v>198</v>
      </c>
      <c r="H10" s="63"/>
      <c r="I10" s="63"/>
      <c r="J10" s="63"/>
      <c r="K10" s="63"/>
      <c r="L10" s="63"/>
      <c r="M10" s="63"/>
      <c r="N10" s="63"/>
      <c r="O10" s="3"/>
      <c r="P10" s="3"/>
      <c r="Q10" s="3"/>
    </row>
    <row r="11" spans="1:19" x14ac:dyDescent="0.3">
      <c r="A11" s="1" t="s">
        <v>189</v>
      </c>
      <c r="B11" s="3">
        <f>MAX(F2:F6)</f>
        <v>5</v>
      </c>
      <c r="C11" s="3">
        <f>MAX(G2:G6)</f>
        <v>25</v>
      </c>
      <c r="E11" s="1"/>
      <c r="F11" s="3"/>
      <c r="G11" s="63"/>
      <c r="H11" s="63"/>
      <c r="I11" s="63"/>
      <c r="J11" s="63"/>
      <c r="K11" s="63"/>
      <c r="L11" s="63"/>
      <c r="M11" s="63"/>
      <c r="N11" s="63"/>
    </row>
    <row r="12" spans="1:19" x14ac:dyDescent="0.3">
      <c r="A12" s="1" t="s">
        <v>190</v>
      </c>
      <c r="B12" s="3">
        <f>MIN(F2:F6)</f>
        <v>4.2857142857142856</v>
      </c>
      <c r="C12" s="3">
        <f>MIN(G2:G6)</f>
        <v>10.909090909090908</v>
      </c>
      <c r="E12" s="1"/>
      <c r="F12" s="3"/>
      <c r="G12" s="63"/>
      <c r="H12" s="63"/>
      <c r="I12" s="63"/>
      <c r="J12" s="63"/>
      <c r="K12" s="63"/>
      <c r="L12" s="63"/>
      <c r="M12" s="63"/>
      <c r="N12" s="63"/>
      <c r="O12" s="4"/>
      <c r="Q12" s="2"/>
      <c r="R12" s="4"/>
    </row>
    <row r="13" spans="1:19" x14ac:dyDescent="0.3">
      <c r="E13" s="1"/>
      <c r="F13" s="3"/>
      <c r="G13" s="63"/>
      <c r="H13" s="63"/>
      <c r="I13" s="63"/>
      <c r="J13" s="63"/>
      <c r="K13" s="63"/>
      <c r="L13" s="63"/>
      <c r="M13" s="63"/>
      <c r="N13" s="63"/>
      <c r="O13" s="3"/>
      <c r="Q13" s="1"/>
      <c r="R13" s="3"/>
    </row>
    <row r="14" spans="1:19" x14ac:dyDescent="0.3">
      <c r="A14" s="70" t="s">
        <v>197</v>
      </c>
      <c r="B14" s="70"/>
      <c r="C14" s="70"/>
      <c r="D14" s="63" t="s">
        <v>201</v>
      </c>
      <c r="E14" s="63"/>
      <c r="G14" s="63"/>
      <c r="H14" s="63"/>
      <c r="I14" s="63"/>
      <c r="J14" s="63"/>
      <c r="K14" s="63"/>
      <c r="L14" s="63"/>
      <c r="M14" s="63"/>
      <c r="N14" s="63"/>
      <c r="O14" s="3"/>
      <c r="Q14" s="1"/>
      <c r="R14" s="3"/>
    </row>
    <row r="15" spans="1:19" x14ac:dyDescent="0.3">
      <c r="A15" s="70"/>
      <c r="B15" s="70"/>
      <c r="C15" s="70"/>
      <c r="D15" s="63"/>
      <c r="E15" s="63"/>
      <c r="G15" s="63"/>
      <c r="H15" s="63"/>
      <c r="I15" s="63"/>
      <c r="J15" s="63"/>
      <c r="K15" s="63"/>
      <c r="L15" s="63"/>
      <c r="M15" s="63"/>
      <c r="N15" s="63"/>
      <c r="O15" s="3"/>
      <c r="Q15" s="1"/>
      <c r="R15" s="3"/>
    </row>
    <row r="16" spans="1:19" x14ac:dyDescent="0.3">
      <c r="A16" s="70"/>
      <c r="B16" s="70"/>
      <c r="C16" s="70"/>
      <c r="D16" s="63"/>
      <c r="E16" s="63"/>
      <c r="G16" s="63"/>
      <c r="H16" s="63"/>
      <c r="I16" s="63"/>
      <c r="J16" s="63"/>
      <c r="K16" s="63"/>
      <c r="L16" s="63"/>
      <c r="M16" s="63"/>
      <c r="N16" s="63"/>
      <c r="O16" s="3"/>
      <c r="Q16" s="1"/>
      <c r="R16" s="3"/>
    </row>
    <row r="17" spans="1:18" x14ac:dyDescent="0.3">
      <c r="A17" s="70"/>
      <c r="B17" s="70"/>
      <c r="C17" s="70"/>
      <c r="D17" s="63"/>
      <c r="E17" s="63"/>
      <c r="G17" s="63"/>
      <c r="H17" s="63"/>
      <c r="I17" s="63"/>
      <c r="J17" s="63"/>
      <c r="K17" s="63"/>
      <c r="L17" s="63"/>
      <c r="M17" s="63"/>
      <c r="N17" s="63"/>
      <c r="Q17" s="1"/>
      <c r="R17" s="3"/>
    </row>
    <row r="18" spans="1:18" x14ac:dyDescent="0.3">
      <c r="A18" s="2" t="s">
        <v>39</v>
      </c>
      <c r="B18" s="4" t="s">
        <v>191</v>
      </c>
      <c r="G18" s="63"/>
      <c r="H18" s="63"/>
      <c r="I18" s="63"/>
      <c r="J18" s="63"/>
      <c r="K18" s="63"/>
      <c r="L18" s="63"/>
      <c r="M18" s="63"/>
      <c r="N18" s="63"/>
    </row>
    <row r="19" spans="1:18" x14ac:dyDescent="0.3">
      <c r="A19" s="1" t="s">
        <v>78</v>
      </c>
      <c r="B19" s="3">
        <v>900</v>
      </c>
      <c r="G19" s="63"/>
      <c r="H19" s="63"/>
      <c r="I19" s="63"/>
      <c r="J19" s="63"/>
      <c r="K19" s="63"/>
      <c r="L19" s="63"/>
      <c r="M19" s="63"/>
      <c r="N19" s="63"/>
    </row>
    <row r="20" spans="1:18" x14ac:dyDescent="0.3">
      <c r="A20" s="1" t="s">
        <v>45</v>
      </c>
      <c r="B20" s="3">
        <v>180</v>
      </c>
      <c r="G20" s="63"/>
      <c r="H20" s="63"/>
      <c r="I20" s="63"/>
      <c r="J20" s="63"/>
      <c r="K20" s="63"/>
      <c r="L20" s="63"/>
      <c r="M20" s="63"/>
      <c r="N20" s="63"/>
    </row>
    <row r="21" spans="1:18" x14ac:dyDescent="0.3">
      <c r="A21" s="1" t="s">
        <v>192</v>
      </c>
      <c r="B21" s="3">
        <v>150</v>
      </c>
      <c r="G21" s="63"/>
      <c r="H21" s="63"/>
      <c r="I21" s="63"/>
      <c r="J21" s="63"/>
      <c r="K21" s="63"/>
      <c r="L21" s="63"/>
      <c r="M21" s="63"/>
      <c r="N21" s="63"/>
    </row>
    <row r="22" spans="1:18" x14ac:dyDescent="0.3">
      <c r="A22" s="1" t="s">
        <v>157</v>
      </c>
      <c r="B22" s="3">
        <v>100</v>
      </c>
      <c r="G22" s="63"/>
      <c r="H22" s="63"/>
      <c r="I22" s="63"/>
      <c r="J22" s="63"/>
      <c r="K22" s="63"/>
      <c r="L22" s="63"/>
      <c r="M22" s="63"/>
      <c r="N22" s="63"/>
    </row>
    <row r="23" spans="1:18" x14ac:dyDescent="0.3">
      <c r="A23" s="1" t="s">
        <v>154</v>
      </c>
      <c r="B23" s="3">
        <v>80</v>
      </c>
      <c r="G23" s="63"/>
      <c r="H23" s="63"/>
      <c r="I23" s="63"/>
      <c r="J23" s="63"/>
      <c r="K23" s="63"/>
      <c r="L23" s="63"/>
      <c r="M23" s="63"/>
      <c r="N23" s="63"/>
    </row>
    <row r="24" spans="1:18" x14ac:dyDescent="0.3">
      <c r="A24" s="1" t="s">
        <v>196</v>
      </c>
      <c r="B24" s="3">
        <v>22</v>
      </c>
      <c r="G24" s="63"/>
      <c r="H24" s="63"/>
      <c r="I24" s="63"/>
      <c r="J24" s="63"/>
      <c r="K24" s="63"/>
      <c r="L24" s="63"/>
      <c r="M24" s="63"/>
      <c r="N24" s="63"/>
    </row>
    <row r="25" spans="1:18" x14ac:dyDescent="0.3">
      <c r="G25" s="63"/>
      <c r="H25" s="63"/>
      <c r="I25" s="63"/>
      <c r="J25" s="63"/>
      <c r="K25" s="63"/>
      <c r="L25" s="63"/>
      <c r="M25" s="63"/>
      <c r="N25" s="63"/>
    </row>
    <row r="26" spans="1:18" ht="28.8" x14ac:dyDescent="0.3">
      <c r="A26" s="2" t="s">
        <v>193</v>
      </c>
      <c r="B26" s="2" t="s">
        <v>40</v>
      </c>
      <c r="C26" s="4" t="s">
        <v>158</v>
      </c>
      <c r="G26" s="63"/>
      <c r="H26" s="63"/>
      <c r="I26" s="63"/>
      <c r="J26" s="63"/>
      <c r="K26" s="63"/>
      <c r="L26" s="63"/>
      <c r="M26" s="63"/>
      <c r="N26" s="63"/>
    </row>
    <row r="27" spans="1:18" ht="43.2" x14ac:dyDescent="0.3">
      <c r="A27" s="1" t="s">
        <v>161</v>
      </c>
      <c r="B27" s="1" t="s">
        <v>194</v>
      </c>
      <c r="C27" s="3">
        <f>B19*B10</f>
        <v>4500</v>
      </c>
      <c r="G27" s="63"/>
      <c r="H27" s="63"/>
      <c r="I27" s="63"/>
      <c r="J27" s="63"/>
      <c r="K27" s="63"/>
      <c r="L27" s="63"/>
      <c r="M27" s="63"/>
      <c r="N27" s="63"/>
    </row>
    <row r="28" spans="1:18" ht="43.2" x14ac:dyDescent="0.3">
      <c r="A28" s="1" t="s">
        <v>162</v>
      </c>
      <c r="B28" s="1" t="s">
        <v>195</v>
      </c>
      <c r="C28" s="3">
        <f>B20*C10</f>
        <v>2200</v>
      </c>
      <c r="G28" s="63"/>
      <c r="H28" s="63"/>
      <c r="I28" s="63"/>
      <c r="J28" s="63"/>
      <c r="K28" s="63"/>
      <c r="L28" s="63"/>
      <c r="M28" s="63"/>
      <c r="N28" s="63"/>
    </row>
    <row r="29" spans="1:18" x14ac:dyDescent="0.3">
      <c r="G29" s="63"/>
      <c r="H29" s="63"/>
      <c r="I29" s="63"/>
      <c r="J29" s="63"/>
      <c r="K29" s="63"/>
      <c r="L29" s="63"/>
      <c r="M29" s="63"/>
      <c r="N29" s="63"/>
    </row>
    <row r="30" spans="1:18" x14ac:dyDescent="0.3">
      <c r="A30" s="63" t="s">
        <v>202</v>
      </c>
      <c r="B30" s="63"/>
      <c r="C30" s="63"/>
      <c r="G30" s="63"/>
      <c r="H30" s="63"/>
      <c r="I30" s="63"/>
      <c r="J30" s="63"/>
      <c r="K30" s="63"/>
      <c r="L30" s="63"/>
      <c r="M30" s="63"/>
      <c r="N30" s="63"/>
    </row>
    <row r="31" spans="1:18" x14ac:dyDescent="0.3">
      <c r="A31" s="63"/>
      <c r="B31" s="63"/>
      <c r="C31" s="63"/>
    </row>
    <row r="32" spans="1:18" ht="28.8" x14ac:dyDescent="0.3">
      <c r="A32" s="2" t="s">
        <v>193</v>
      </c>
      <c r="B32" s="4" t="s">
        <v>158</v>
      </c>
      <c r="C32" s="4" t="s">
        <v>203</v>
      </c>
      <c r="D32" s="4" t="s">
        <v>204</v>
      </c>
      <c r="E32" s="4" t="s">
        <v>147</v>
      </c>
    </row>
    <row r="33" spans="1:5" x14ac:dyDescent="0.3">
      <c r="A33" s="1" t="s">
        <v>161</v>
      </c>
      <c r="B33" s="3">
        <v>4500</v>
      </c>
      <c r="C33" s="3">
        <v>150</v>
      </c>
      <c r="D33" s="3">
        <v>100</v>
      </c>
      <c r="E33" s="3">
        <f>B33-C33+D33</f>
        <v>4450</v>
      </c>
    </row>
    <row r="34" spans="1:5" x14ac:dyDescent="0.3">
      <c r="A34" s="1" t="s">
        <v>162</v>
      </c>
      <c r="B34" s="3">
        <v>2200</v>
      </c>
      <c r="C34" s="3">
        <v>150</v>
      </c>
      <c r="D34" s="3">
        <v>100</v>
      </c>
      <c r="E34" s="3">
        <f>B34-C34+D34</f>
        <v>2150</v>
      </c>
    </row>
    <row r="36" spans="1:5" x14ac:dyDescent="0.3">
      <c r="A36" s="63" t="s">
        <v>205</v>
      </c>
      <c r="B36" s="63"/>
      <c r="C36" s="63"/>
    </row>
    <row r="37" spans="1:5" x14ac:dyDescent="0.3">
      <c r="A37" s="63"/>
      <c r="B37" s="63"/>
      <c r="C37" s="63"/>
    </row>
    <row r="38" spans="1:5" ht="43.2" x14ac:dyDescent="0.3">
      <c r="A38" s="2" t="s">
        <v>193</v>
      </c>
      <c r="B38" s="4" t="s">
        <v>147</v>
      </c>
      <c r="C38" s="4" t="s">
        <v>154</v>
      </c>
      <c r="D38" s="4" t="s">
        <v>205</v>
      </c>
    </row>
    <row r="39" spans="1:5" x14ac:dyDescent="0.3">
      <c r="A39" s="1" t="s">
        <v>161</v>
      </c>
      <c r="B39" s="3">
        <v>4450</v>
      </c>
      <c r="C39" s="3">
        <v>80</v>
      </c>
      <c r="D39" s="3">
        <f>B39/C39</f>
        <v>55.625</v>
      </c>
    </row>
    <row r="40" spans="1:5" x14ac:dyDescent="0.3">
      <c r="A40" s="1" t="s">
        <v>162</v>
      </c>
      <c r="B40" s="3">
        <v>2150</v>
      </c>
      <c r="C40" s="3">
        <v>80</v>
      </c>
      <c r="D40" s="3">
        <f>B40/C40</f>
        <v>26.875</v>
      </c>
    </row>
  </sheetData>
  <mergeCells count="5">
    <mergeCell ref="A14:C17"/>
    <mergeCell ref="G10:N30"/>
    <mergeCell ref="D14:E17"/>
    <mergeCell ref="A30:C31"/>
    <mergeCell ref="A36:C3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C977-04AD-45F1-AEED-7BFDD97C6149}">
  <dimension ref="A1:P29"/>
  <sheetViews>
    <sheetView zoomScale="52" workbookViewId="0">
      <selection activeCell="P32" sqref="P32"/>
    </sheetView>
  </sheetViews>
  <sheetFormatPr defaultRowHeight="14.4" x14ac:dyDescent="0.3"/>
  <cols>
    <col min="1" max="1" width="32.6640625" customWidth="1"/>
    <col min="2" max="2" width="46.5546875" customWidth="1"/>
    <col min="6" max="6" width="22" customWidth="1"/>
    <col min="7" max="8" width="12.44140625" bestFit="1" customWidth="1"/>
    <col min="9" max="12" width="11.6640625" bestFit="1" customWidth="1"/>
    <col min="15" max="15" width="27.6640625" customWidth="1"/>
    <col min="16" max="16" width="20.21875" customWidth="1"/>
  </cols>
  <sheetData>
    <row r="1" spans="1:16" x14ac:dyDescent="0.3">
      <c r="A1" s="2" t="s">
        <v>16</v>
      </c>
      <c r="B1" s="4" t="s">
        <v>191</v>
      </c>
      <c r="O1" s="74" t="s">
        <v>253</v>
      </c>
      <c r="P1" s="74"/>
    </row>
    <row r="2" spans="1:16" x14ac:dyDescent="0.3">
      <c r="A2" s="1" t="s">
        <v>206</v>
      </c>
      <c r="B2" s="3">
        <v>80</v>
      </c>
      <c r="F2" s="73" t="s">
        <v>238</v>
      </c>
      <c r="G2" s="73"/>
      <c r="H2" s="73"/>
      <c r="I2" s="73"/>
      <c r="J2" s="73"/>
      <c r="K2" s="73"/>
      <c r="O2" s="74"/>
      <c r="P2" s="74"/>
    </row>
    <row r="3" spans="1:16" x14ac:dyDescent="0.3">
      <c r="A3" s="1" t="s">
        <v>207</v>
      </c>
      <c r="B3" s="3">
        <v>7.5</v>
      </c>
      <c r="F3" s="73"/>
      <c r="G3" s="73"/>
      <c r="H3" s="73"/>
      <c r="I3" s="73"/>
      <c r="J3" s="73"/>
      <c r="K3" s="73"/>
      <c r="O3" s="74"/>
      <c r="P3" s="74"/>
    </row>
    <row r="4" spans="1:16" ht="43.2" customHeight="1" x14ac:dyDescent="0.3">
      <c r="A4" s="1" t="s">
        <v>208</v>
      </c>
      <c r="B4" s="3">
        <f>B2*B3</f>
        <v>600</v>
      </c>
      <c r="F4" s="2" t="s">
        <v>16</v>
      </c>
      <c r="G4" s="4" t="s">
        <v>226</v>
      </c>
      <c r="H4" s="4" t="s">
        <v>227</v>
      </c>
      <c r="I4" s="4" t="s">
        <v>228</v>
      </c>
      <c r="J4" s="4" t="s">
        <v>229</v>
      </c>
      <c r="K4" s="4" t="s">
        <v>230</v>
      </c>
      <c r="L4" s="4" t="s">
        <v>231</v>
      </c>
      <c r="O4" s="2" t="s">
        <v>16</v>
      </c>
      <c r="P4" s="4" t="s">
        <v>191</v>
      </c>
    </row>
    <row r="5" spans="1:16" x14ac:dyDescent="0.3">
      <c r="A5" s="1" t="s">
        <v>209</v>
      </c>
      <c r="B5" s="3">
        <v>250</v>
      </c>
      <c r="F5" s="1" t="s">
        <v>78</v>
      </c>
      <c r="G5" s="3">
        <f>B2/B12</f>
        <v>444.44444444444446</v>
      </c>
      <c r="H5" s="3">
        <f>G5*(1+G6)</f>
        <v>471.11111111111114</v>
      </c>
      <c r="I5" s="3">
        <f t="shared" ref="I5:L5" si="0">H5*(1+H6)</f>
        <v>499.37777777777785</v>
      </c>
      <c r="J5" s="3">
        <f t="shared" si="0"/>
        <v>529.34044444444453</v>
      </c>
      <c r="K5" s="3">
        <f t="shared" si="0"/>
        <v>561.10087111111125</v>
      </c>
      <c r="L5" s="3">
        <f t="shared" si="0"/>
        <v>594.76692337777797</v>
      </c>
      <c r="O5" s="1" t="s">
        <v>246</v>
      </c>
      <c r="P5" s="23">
        <f>L8</f>
        <v>130.84872314311116</v>
      </c>
    </row>
    <row r="6" spans="1:16" x14ac:dyDescent="0.3">
      <c r="A6" s="1" t="s">
        <v>157</v>
      </c>
      <c r="B6" s="3">
        <v>400</v>
      </c>
      <c r="F6" s="1" t="s">
        <v>232</v>
      </c>
      <c r="G6" s="51">
        <v>0.06</v>
      </c>
      <c r="H6" s="51">
        <v>0.06</v>
      </c>
      <c r="I6" s="51">
        <v>0.06</v>
      </c>
      <c r="J6" s="51">
        <v>0.06</v>
      </c>
      <c r="K6" s="51">
        <v>0.06</v>
      </c>
      <c r="L6" s="51">
        <v>0.06</v>
      </c>
      <c r="O6" s="1" t="s">
        <v>213</v>
      </c>
      <c r="P6" s="3">
        <v>8</v>
      </c>
    </row>
    <row r="7" spans="1:16" ht="43.2" customHeight="1" x14ac:dyDescent="0.3">
      <c r="A7" s="1" t="s">
        <v>210</v>
      </c>
      <c r="B7" s="3">
        <f>B4-B5+B6</f>
        <v>750</v>
      </c>
      <c r="F7" s="1" t="s">
        <v>47</v>
      </c>
      <c r="G7" s="71">
        <v>0.18</v>
      </c>
      <c r="H7" s="71">
        <f>18%+0.8%</f>
        <v>0.188</v>
      </c>
      <c r="I7" s="71">
        <f>H7+0.8%</f>
        <v>0.19600000000000001</v>
      </c>
      <c r="J7" s="71">
        <f>I7+0.8%</f>
        <v>0.20400000000000001</v>
      </c>
      <c r="K7" s="71">
        <f>J7+0.8%</f>
        <v>0.21200000000000002</v>
      </c>
      <c r="L7" s="72">
        <f>K7+0.8%</f>
        <v>0.22000000000000003</v>
      </c>
      <c r="O7" s="1" t="s">
        <v>247</v>
      </c>
      <c r="P7" s="39">
        <f>P5*P6</f>
        <v>1046.7897851448893</v>
      </c>
    </row>
    <row r="8" spans="1:16" ht="28.8" customHeight="1" x14ac:dyDescent="0.3">
      <c r="A8" s="1" t="s">
        <v>211</v>
      </c>
      <c r="B8" s="3" t="s">
        <v>212</v>
      </c>
      <c r="F8" s="1" t="s">
        <v>45</v>
      </c>
      <c r="G8" s="3">
        <f>G5*G7</f>
        <v>80</v>
      </c>
      <c r="H8" s="3">
        <f t="shared" ref="H8:L8" si="1">H5*H7</f>
        <v>88.568888888888893</v>
      </c>
      <c r="I8" s="3">
        <f t="shared" si="1"/>
        <v>97.878044444444456</v>
      </c>
      <c r="J8" s="3">
        <f t="shared" si="1"/>
        <v>107.98545066666669</v>
      </c>
      <c r="K8" s="3">
        <f t="shared" si="1"/>
        <v>118.9533846755556</v>
      </c>
      <c r="L8" s="3">
        <f t="shared" si="1"/>
        <v>130.84872314311116</v>
      </c>
      <c r="O8" s="1" t="s">
        <v>248</v>
      </c>
      <c r="P8" s="23">
        <f>L26</f>
        <v>28.944523271111024</v>
      </c>
    </row>
    <row r="9" spans="1:16" ht="28.8" customHeight="1" x14ac:dyDescent="0.3">
      <c r="A9" s="1" t="s">
        <v>213</v>
      </c>
      <c r="B9" s="3" t="s">
        <v>214</v>
      </c>
      <c r="F9" s="1" t="s">
        <v>233</v>
      </c>
      <c r="G9" s="3">
        <f>$B15*G5</f>
        <v>17.777777777777779</v>
      </c>
      <c r="H9" s="3">
        <f t="shared" ref="H9:L9" si="2">$B15*H5</f>
        <v>18.844444444444445</v>
      </c>
      <c r="I9" s="3">
        <f t="shared" si="2"/>
        <v>19.975111111111115</v>
      </c>
      <c r="J9" s="3">
        <f t="shared" si="2"/>
        <v>21.173617777777782</v>
      </c>
      <c r="K9" s="3">
        <f t="shared" si="2"/>
        <v>22.444034844444449</v>
      </c>
      <c r="L9" s="3">
        <f t="shared" si="2"/>
        <v>23.790676935111119</v>
      </c>
      <c r="O9" s="1" t="s">
        <v>204</v>
      </c>
      <c r="P9" s="3">
        <v>0</v>
      </c>
    </row>
    <row r="10" spans="1:16" ht="43.2" x14ac:dyDescent="0.3">
      <c r="A10" s="1" t="s">
        <v>86</v>
      </c>
      <c r="B10" s="51">
        <v>0.25</v>
      </c>
      <c r="F10" s="1" t="s">
        <v>132</v>
      </c>
      <c r="G10" s="3">
        <f>G8-G9</f>
        <v>62.222222222222221</v>
      </c>
      <c r="H10" s="3">
        <f t="shared" ref="H10:L10" si="3">H8-H9</f>
        <v>69.724444444444444</v>
      </c>
      <c r="I10" s="3">
        <f t="shared" si="3"/>
        <v>77.902933333333337</v>
      </c>
      <c r="J10" s="3">
        <f t="shared" si="3"/>
        <v>86.811832888888915</v>
      </c>
      <c r="K10" s="3">
        <f t="shared" si="3"/>
        <v>96.509349831111152</v>
      </c>
      <c r="L10" s="3">
        <f t="shared" si="3"/>
        <v>107.05804620800004</v>
      </c>
      <c r="O10" s="1" t="s">
        <v>249</v>
      </c>
      <c r="P10" s="23">
        <f>P7-P8+P9</f>
        <v>1017.8452618737782</v>
      </c>
    </row>
    <row r="11" spans="1:16" ht="28.8" customHeight="1" x14ac:dyDescent="0.3">
      <c r="A11" s="1" t="s">
        <v>41</v>
      </c>
      <c r="B11" s="51">
        <v>0.06</v>
      </c>
      <c r="F11" s="1" t="s">
        <v>234</v>
      </c>
      <c r="G11" s="3">
        <f>$B10*G10</f>
        <v>15.555555555555555</v>
      </c>
      <c r="H11" s="3">
        <f t="shared" ref="H11:L11" si="4">$B10*H10</f>
        <v>17.431111111111111</v>
      </c>
      <c r="I11" s="3">
        <f t="shared" si="4"/>
        <v>19.475733333333334</v>
      </c>
      <c r="J11" s="3">
        <f t="shared" si="4"/>
        <v>21.702958222222229</v>
      </c>
      <c r="K11" s="3">
        <f t="shared" si="4"/>
        <v>24.127337457777788</v>
      </c>
      <c r="L11" s="3">
        <f t="shared" si="4"/>
        <v>26.764511552000009</v>
      </c>
      <c r="O11" s="1" t="s">
        <v>250</v>
      </c>
      <c r="P11" s="3">
        <f>B21</f>
        <v>750</v>
      </c>
    </row>
    <row r="12" spans="1:16" ht="43.2" customHeight="1" x14ac:dyDescent="0.3">
      <c r="A12" s="1" t="s">
        <v>215</v>
      </c>
      <c r="B12" s="51">
        <v>0.18</v>
      </c>
      <c r="F12" s="1" t="s">
        <v>134</v>
      </c>
      <c r="G12" s="3">
        <f>G10-G11</f>
        <v>46.666666666666664</v>
      </c>
      <c r="H12" s="3">
        <f t="shared" ref="H12:L12" si="5">H10-H11</f>
        <v>52.293333333333337</v>
      </c>
      <c r="I12" s="3">
        <f t="shared" si="5"/>
        <v>58.427199999999999</v>
      </c>
      <c r="J12" s="3">
        <f t="shared" si="5"/>
        <v>65.108874666666679</v>
      </c>
      <c r="K12" s="3">
        <f t="shared" si="5"/>
        <v>72.382012373333367</v>
      </c>
      <c r="L12" s="3">
        <f t="shared" si="5"/>
        <v>80.29353465600002</v>
      </c>
      <c r="O12" s="1" t="s">
        <v>251</v>
      </c>
      <c r="P12" s="3">
        <f>P10/P11</f>
        <v>1.3571270158317044</v>
      </c>
    </row>
    <row r="13" spans="1:16" x14ac:dyDescent="0.3">
      <c r="A13" s="1" t="s">
        <v>216</v>
      </c>
      <c r="B13" s="51">
        <v>0.22</v>
      </c>
      <c r="F13" s="1" t="s">
        <v>235</v>
      </c>
      <c r="G13" s="3">
        <f>G5*$B14</f>
        <v>13.333333333333334</v>
      </c>
      <c r="H13" s="3">
        <f t="shared" ref="H13:L13" si="6">H5*$B14</f>
        <v>14.133333333333335</v>
      </c>
      <c r="I13" s="3">
        <f t="shared" si="6"/>
        <v>14.981333333333335</v>
      </c>
      <c r="J13" s="3">
        <f t="shared" si="6"/>
        <v>15.880213333333336</v>
      </c>
      <c r="K13" s="3">
        <f t="shared" si="6"/>
        <v>16.833026133333338</v>
      </c>
      <c r="L13" s="3">
        <f t="shared" si="6"/>
        <v>17.843007701333338</v>
      </c>
      <c r="O13" s="1" t="s">
        <v>252</v>
      </c>
      <c r="P13" s="51">
        <f>IRR(P20:P25)</f>
        <v>0.21717032822403826</v>
      </c>
    </row>
    <row r="14" spans="1:16" ht="28.8" x14ac:dyDescent="0.3">
      <c r="A14" s="1" t="s">
        <v>59</v>
      </c>
      <c r="B14" s="51">
        <v>0.03</v>
      </c>
      <c r="F14" s="1" t="s">
        <v>236</v>
      </c>
      <c r="G14" s="3">
        <v>0</v>
      </c>
      <c r="H14" s="3">
        <f>(H5-G5)*$B16</f>
        <v>0.53333333333333377</v>
      </c>
      <c r="I14" s="3">
        <f t="shared" ref="I14:L14" si="7">(I5-H5)*$B16</f>
        <v>0.56533333333333413</v>
      </c>
      <c r="J14" s="3">
        <f t="shared" si="7"/>
        <v>0.59925333333333353</v>
      </c>
      <c r="K14" s="3">
        <f t="shared" si="7"/>
        <v>0.63520853333333438</v>
      </c>
      <c r="L14" s="3">
        <f t="shared" si="7"/>
        <v>0.67332104533333448</v>
      </c>
      <c r="O14" s="1"/>
    </row>
    <row r="15" spans="1:16" x14ac:dyDescent="0.3">
      <c r="A15" s="1" t="s">
        <v>217</v>
      </c>
      <c r="B15" s="51">
        <v>0.04</v>
      </c>
      <c r="F15" s="1" t="s">
        <v>237</v>
      </c>
      <c r="G15" s="3">
        <f>G12+G9-G13-G14</f>
        <v>51.111111111111107</v>
      </c>
      <c r="H15" s="3">
        <f t="shared" ref="H15:L15" si="8">H12+H9-H13-H14</f>
        <v>56.471111111111121</v>
      </c>
      <c r="I15" s="3">
        <f t="shared" si="8"/>
        <v>62.855644444444444</v>
      </c>
      <c r="J15" s="3">
        <f t="shared" si="8"/>
        <v>69.80302577777779</v>
      </c>
      <c r="K15" s="3">
        <f t="shared" si="8"/>
        <v>77.357812551111138</v>
      </c>
      <c r="L15" s="3">
        <f t="shared" si="8"/>
        <v>85.567882844444469</v>
      </c>
    </row>
    <row r="16" spans="1:16" x14ac:dyDescent="0.3">
      <c r="A16" s="1" t="s">
        <v>218</v>
      </c>
      <c r="B16" s="51">
        <v>0.02</v>
      </c>
      <c r="I16" s="1"/>
      <c r="J16" s="3"/>
    </row>
    <row r="17" spans="1:16" x14ac:dyDescent="0.3">
      <c r="I17" s="1"/>
      <c r="J17" s="3"/>
    </row>
    <row r="18" spans="1:16" x14ac:dyDescent="0.3">
      <c r="A18" s="65" t="s">
        <v>222</v>
      </c>
      <c r="B18" s="65"/>
      <c r="F18" s="65" t="s">
        <v>240</v>
      </c>
      <c r="G18" s="65"/>
      <c r="H18" s="65"/>
      <c r="I18" s="65"/>
      <c r="J18" s="65"/>
      <c r="K18" s="65"/>
      <c r="L18" s="65"/>
    </row>
    <row r="19" spans="1:16" x14ac:dyDescent="0.3">
      <c r="A19" s="65"/>
      <c r="B19" s="65"/>
      <c r="F19" s="65"/>
      <c r="G19" s="65"/>
      <c r="H19" s="65"/>
      <c r="I19" s="65"/>
      <c r="J19" s="65"/>
      <c r="K19" s="65"/>
      <c r="L19" s="65"/>
      <c r="O19" s="2" t="s">
        <v>254</v>
      </c>
      <c r="P19" s="4" t="s">
        <v>255</v>
      </c>
    </row>
    <row r="20" spans="1:16" x14ac:dyDescent="0.3">
      <c r="A20" s="2" t="s">
        <v>219</v>
      </c>
      <c r="B20" s="4" t="s">
        <v>191</v>
      </c>
      <c r="C20" s="4"/>
      <c r="F20" s="2" t="s">
        <v>241</v>
      </c>
      <c r="G20" s="4" t="s">
        <v>226</v>
      </c>
      <c r="H20" s="4" t="s">
        <v>227</v>
      </c>
      <c r="I20" s="4" t="s">
        <v>228</v>
      </c>
      <c r="J20" s="4" t="s">
        <v>229</v>
      </c>
      <c r="K20" s="4" t="s">
        <v>230</v>
      </c>
      <c r="L20" s="4" t="s">
        <v>231</v>
      </c>
      <c r="O20" s="1">
        <v>0</v>
      </c>
      <c r="P20" s="3">
        <v>-381</v>
      </c>
    </row>
    <row r="21" spans="1:16" x14ac:dyDescent="0.3">
      <c r="A21" s="1" t="s">
        <v>210</v>
      </c>
      <c r="B21" s="3">
        <v>750</v>
      </c>
      <c r="C21" s="3"/>
      <c r="F21" s="1" t="s">
        <v>242</v>
      </c>
      <c r="G21" s="23">
        <v>381</v>
      </c>
      <c r="H21" s="23">
        <v>381</v>
      </c>
      <c r="I21" s="23">
        <f>H26</f>
        <v>324.5288888888889</v>
      </c>
      <c r="J21" s="23">
        <f t="shared" ref="J21:L21" si="9">I26</f>
        <v>261.67324444444444</v>
      </c>
      <c r="K21" s="23">
        <f t="shared" si="9"/>
        <v>191.87021866666663</v>
      </c>
      <c r="L21" s="23">
        <f t="shared" si="9"/>
        <v>114.51240611555549</v>
      </c>
      <c r="O21" s="1">
        <v>1</v>
      </c>
      <c r="P21" s="3">
        <v>0</v>
      </c>
    </row>
    <row r="22" spans="1:16" x14ac:dyDescent="0.3">
      <c r="A22" s="1" t="s">
        <v>220</v>
      </c>
      <c r="B22" s="3">
        <v>12</v>
      </c>
      <c r="C22" s="3"/>
      <c r="F22" s="1" t="s">
        <v>243</v>
      </c>
      <c r="G22" s="23">
        <v>0.08</v>
      </c>
      <c r="H22" s="23">
        <v>0.08</v>
      </c>
      <c r="I22" s="23">
        <v>0.08</v>
      </c>
      <c r="J22" s="23">
        <v>0.08</v>
      </c>
      <c r="K22" s="23">
        <v>0.08</v>
      </c>
      <c r="L22" s="23">
        <v>0.08</v>
      </c>
      <c r="O22" s="1">
        <v>2</v>
      </c>
      <c r="P22" s="3">
        <v>0</v>
      </c>
    </row>
    <row r="23" spans="1:16" x14ac:dyDescent="0.3">
      <c r="A23" s="22" t="s">
        <v>221</v>
      </c>
      <c r="B23" s="4">
        <v>762</v>
      </c>
      <c r="C23" s="3"/>
      <c r="F23" s="1" t="s">
        <v>12</v>
      </c>
      <c r="G23" s="23"/>
      <c r="H23" s="23">
        <f>H21*H22</f>
        <v>30.48</v>
      </c>
      <c r="I23" s="23">
        <f t="shared" ref="I23:L23" si="10">I21*I22</f>
        <v>25.962311111111113</v>
      </c>
      <c r="J23" s="23">
        <f t="shared" si="10"/>
        <v>20.933859555555554</v>
      </c>
      <c r="K23" s="23">
        <f t="shared" si="10"/>
        <v>15.34961749333333</v>
      </c>
      <c r="L23" s="23">
        <f t="shared" si="10"/>
        <v>9.160992489244439</v>
      </c>
      <c r="O23" s="1">
        <v>3</v>
      </c>
      <c r="P23" s="3">
        <v>0</v>
      </c>
    </row>
    <row r="24" spans="1:16" x14ac:dyDescent="0.3">
      <c r="F24" s="1" t="s">
        <v>237</v>
      </c>
      <c r="G24" s="23"/>
      <c r="H24" s="23">
        <f>H15</f>
        <v>56.471111111111121</v>
      </c>
      <c r="I24" s="23">
        <f t="shared" ref="I24:L24" si="11">I15</f>
        <v>62.855644444444444</v>
      </c>
      <c r="J24" s="23">
        <f t="shared" si="11"/>
        <v>69.80302577777779</v>
      </c>
      <c r="K24" s="23">
        <f t="shared" si="11"/>
        <v>77.357812551111138</v>
      </c>
      <c r="L24" s="23">
        <f t="shared" si="11"/>
        <v>85.567882844444469</v>
      </c>
      <c r="O24" s="1">
        <v>4</v>
      </c>
      <c r="P24" s="3">
        <v>0</v>
      </c>
    </row>
    <row r="25" spans="1:16" x14ac:dyDescent="0.3">
      <c r="F25" s="1" t="s">
        <v>244</v>
      </c>
      <c r="G25" s="23"/>
      <c r="H25" s="23">
        <f>MIN(H21,H24)</f>
        <v>56.471111111111121</v>
      </c>
      <c r="I25" s="23">
        <f t="shared" ref="I25:L25" si="12">MIN(I21,I24)</f>
        <v>62.855644444444444</v>
      </c>
      <c r="J25" s="23">
        <f t="shared" si="12"/>
        <v>69.80302577777779</v>
      </c>
      <c r="K25" s="23">
        <f t="shared" si="12"/>
        <v>77.357812551111138</v>
      </c>
      <c r="L25" s="23">
        <f t="shared" si="12"/>
        <v>85.567882844444469</v>
      </c>
      <c r="O25" s="1">
        <v>5</v>
      </c>
      <c r="P25" s="23">
        <f>P10</f>
        <v>1017.8452618737782</v>
      </c>
    </row>
    <row r="26" spans="1:16" x14ac:dyDescent="0.3">
      <c r="A26" s="2" t="s">
        <v>223</v>
      </c>
      <c r="B26" s="4" t="s">
        <v>191</v>
      </c>
      <c r="C26" s="4"/>
      <c r="F26" s="1" t="s">
        <v>245</v>
      </c>
      <c r="G26" s="23">
        <v>381</v>
      </c>
      <c r="H26" s="23">
        <f>H21-H25</f>
        <v>324.5288888888889</v>
      </c>
      <c r="I26" s="23">
        <f t="shared" ref="I26:L26" si="13">I21-I25</f>
        <v>261.67324444444444</v>
      </c>
      <c r="J26" s="23">
        <f t="shared" si="13"/>
        <v>191.87021866666663</v>
      </c>
      <c r="K26" s="23">
        <f t="shared" si="13"/>
        <v>114.51240611555549</v>
      </c>
      <c r="L26" s="23">
        <f t="shared" si="13"/>
        <v>28.944523271111024</v>
      </c>
    </row>
    <row r="27" spans="1:16" x14ac:dyDescent="0.3">
      <c r="A27" s="1" t="s">
        <v>239</v>
      </c>
      <c r="B27" s="3">
        <v>381</v>
      </c>
      <c r="C27" s="3"/>
      <c r="I27" s="1"/>
      <c r="J27" s="51"/>
    </row>
    <row r="28" spans="1:16" x14ac:dyDescent="0.3">
      <c r="A28" s="1" t="s">
        <v>224</v>
      </c>
      <c r="B28" s="3">
        <v>381</v>
      </c>
      <c r="C28" s="3"/>
      <c r="I28" s="1"/>
      <c r="J28" s="51"/>
    </row>
    <row r="29" spans="1:16" x14ac:dyDescent="0.3">
      <c r="A29" s="22" t="s">
        <v>225</v>
      </c>
      <c r="B29" s="4">
        <v>762</v>
      </c>
      <c r="C29" s="4"/>
    </row>
  </sheetData>
  <mergeCells count="4">
    <mergeCell ref="A18:B19"/>
    <mergeCell ref="F2:K3"/>
    <mergeCell ref="F18:L19"/>
    <mergeCell ref="O1:P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6AE8C6-3EB7-4349-AF97-E08F177D51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income statement</vt:lpstr>
      <vt:lpstr>balance sheet</vt:lpstr>
      <vt:lpstr>cash flow</vt:lpstr>
      <vt:lpstr>ratio analysis</vt:lpstr>
      <vt:lpstr>Trend Analysis</vt:lpstr>
      <vt:lpstr>forecast model</vt:lpstr>
      <vt:lpstr>Assumptions</vt:lpstr>
      <vt:lpstr>Income statement forecasting</vt:lpstr>
      <vt:lpstr>Balance sheet forecasting</vt:lpstr>
      <vt:lpstr>Cash flow forcasting</vt:lpstr>
      <vt:lpstr>Dcf Valuation</vt:lpstr>
      <vt:lpstr>DCF Summary</vt:lpstr>
      <vt:lpstr>Trading Comps</vt:lpstr>
      <vt:lpstr>Transaction Analysis</vt:lpstr>
      <vt:lpstr>LBO 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Parihar</dc:creator>
  <cp:lastModifiedBy>Mayank Parihar</cp:lastModifiedBy>
  <cp:lastPrinted>2026-07-13T12:37:41Z</cp:lastPrinted>
  <dcterms:created xsi:type="dcterms:W3CDTF">2026-07-12T12:59:09Z</dcterms:created>
  <dcterms:modified xsi:type="dcterms:W3CDTF">2026-07-16T09:40:06Z</dcterms:modified>
</cp:coreProperties>
</file>
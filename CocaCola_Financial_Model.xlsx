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102a00fe31ca57e/Documents/"/>
    </mc:Choice>
  </mc:AlternateContent>
  <xr:revisionPtr revIDLastSave="359" documentId="8_{4F996163-4D42-493B-9F5F-2F308B52E896}" xr6:coauthVersionLast="47" xr6:coauthVersionMax="47" xr10:uidLastSave="{909434C4-1AB0-4C3B-A590-053A94C574BA}"/>
  <bookViews>
    <workbookView xWindow="-108" yWindow="-108" windowWidth="23256" windowHeight="12456" activeTab="5" xr2:uid="{4AC9A830-2267-4F2E-850A-DCB6FBA7F0B5}"/>
  </bookViews>
  <sheets>
    <sheet name="income statement" sheetId="1" r:id="rId1"/>
    <sheet name="balance sheet" sheetId="2" r:id="rId2"/>
    <sheet name="cash flow" sheetId="3" r:id="rId3"/>
    <sheet name="ratio analysis" sheetId="4" r:id="rId4"/>
    <sheet name="Trend Analysis" sheetId="7" r:id="rId5"/>
    <sheet name="forecast model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5" l="1"/>
  <c r="F5" i="5"/>
  <c r="E5" i="5"/>
  <c r="G2" i="5"/>
  <c r="F2" i="5"/>
  <c r="E2" i="5"/>
  <c r="C3" i="5"/>
  <c r="C11" i="4"/>
  <c r="B11" i="4"/>
  <c r="D3" i="4"/>
  <c r="C12" i="4"/>
  <c r="C10" i="4"/>
  <c r="C9" i="4"/>
  <c r="C8" i="4"/>
  <c r="D7" i="4"/>
  <c r="C7" i="4"/>
  <c r="D6" i="4"/>
  <c r="C6" i="4"/>
  <c r="D5" i="4"/>
  <c r="C5" i="4"/>
  <c r="D4" i="4"/>
  <c r="C4" i="4"/>
  <c r="B12" i="4"/>
  <c r="B10" i="4"/>
  <c r="B9" i="4"/>
  <c r="C3" i="4"/>
  <c r="B8" i="4"/>
  <c r="B7" i="4"/>
  <c r="B6" i="4"/>
  <c r="B5" i="4"/>
  <c r="B4" i="4"/>
  <c r="B3" i="4"/>
  <c r="B2" i="4"/>
  <c r="C2" i="4"/>
</calcChain>
</file>

<file path=xl/sharedStrings.xml><?xml version="1.0" encoding="utf-8"?>
<sst xmlns="http://schemas.openxmlformats.org/spreadsheetml/2006/main" count="97" uniqueCount="80">
  <si>
    <t>Consolidated Net Income</t>
  </si>
  <si>
    <t>A (Particulars)</t>
  </si>
  <si>
    <t>B (FY2024)</t>
  </si>
  <si>
    <t>C (FY2023)</t>
  </si>
  <si>
    <t>D (FY2022)</t>
  </si>
  <si>
    <t>Net Operating Revenues</t>
  </si>
  <si>
    <t>Cost of Goods Sold</t>
  </si>
  <si>
    <t>Gross Profit</t>
  </si>
  <si>
    <t>Selling, General &amp; Administrative Expenses</t>
  </si>
  <si>
    <t>Other Operating Charges</t>
  </si>
  <si>
    <t>Operating Income</t>
  </si>
  <si>
    <t>Interest Income</t>
  </si>
  <si>
    <t>Interest Expense</t>
  </si>
  <si>
    <t>Income Before Taxes</t>
  </si>
  <si>
    <t>Income Taxes</t>
  </si>
  <si>
    <t>Net Income Attributable to Shareowners</t>
  </si>
  <si>
    <t>Particulars</t>
  </si>
  <si>
    <t>FY2024</t>
  </si>
  <si>
    <t>FY2023</t>
  </si>
  <si>
    <t>Cash &amp; Cash Equivalents</t>
  </si>
  <si>
    <t>Short-Term Investments</t>
  </si>
  <si>
    <t>Accounts Receivable</t>
  </si>
  <si>
    <t>Inventory</t>
  </si>
  <si>
    <t>Total Current Assets</t>
  </si>
  <si>
    <t>Property, Plant &amp; Equipment</t>
  </si>
  <si>
    <t>Total Assets</t>
  </si>
  <si>
    <t>Accounts Payable &amp; Accrued Expenses</t>
  </si>
  <si>
    <t>Short-Term Debt</t>
  </si>
  <si>
    <t>Current Maturities of Long-Term Debt</t>
  </si>
  <si>
    <t>Long-Term Debt</t>
  </si>
  <si>
    <t>Total Liabilities</t>
  </si>
  <si>
    <t>Total Equity</t>
  </si>
  <si>
    <t>FY2022</t>
  </si>
  <si>
    <t>Depreciation &amp; Amortization</t>
  </si>
  <si>
    <t>Net Cash From Operating Activities (CFO)</t>
  </si>
  <si>
    <t>Purchases of Property, Plant &amp; Equipment (CapEx)</t>
  </si>
  <si>
    <t>Net Cash From Investing Activities</t>
  </si>
  <si>
    <t>Net Cash From Financing Activities</t>
  </si>
  <si>
    <t>Ending Cash Balance</t>
  </si>
  <si>
    <t>Metric</t>
  </si>
  <si>
    <t>Formula</t>
  </si>
  <si>
    <t>Revenue Growth</t>
  </si>
  <si>
    <t>(Current Revenue − Previous Revenue) / Previous Revenue</t>
  </si>
  <si>
    <t>Gross Margin</t>
  </si>
  <si>
    <t>Gross Profit / Revenue</t>
  </si>
  <si>
    <t>EBITDA</t>
  </si>
  <si>
    <t>Operating Income + Depreciation &amp; Amortization</t>
  </si>
  <si>
    <t>EBITDA Margin</t>
  </si>
  <si>
    <t>EBITDA / Revenue</t>
  </si>
  <si>
    <t>Operating Margin</t>
  </si>
  <si>
    <t>Operating Income / Revenue</t>
  </si>
  <si>
    <t>Net Margin</t>
  </si>
  <si>
    <t>Net Income / Revenue</t>
  </si>
  <si>
    <t>DSO</t>
  </si>
  <si>
    <t>Accounts Receivable / Revenue × 365</t>
  </si>
  <si>
    <t>DIO</t>
  </si>
  <si>
    <t>Inventory / Cost of Goods Sold × 365</t>
  </si>
  <si>
    <t>DPO</t>
  </si>
  <si>
    <t>Accounts Payable / Cost of Goods Sold × 365</t>
  </si>
  <si>
    <t>CapEx % Revenue</t>
  </si>
  <si>
    <t>CapEx / Revenue</t>
  </si>
  <si>
    <t>Debt / EBITDA</t>
  </si>
  <si>
    <t>Total Debt / EBITDA</t>
  </si>
  <si>
    <t>Revenue grew in FY2023 but declined slightly by 2.86% in FY2024, indicating slower sales growth or weaker demand.</t>
  </si>
  <si>
    <t>2. Profitability</t>
  </si>
  <si>
    <t xml:space="preserve">
1. Revenue
</t>
  </si>
  <si>
    <t>Gross margin improved from 58.14% in FY2022 to 61.06% in FY2024, suggesting improved cost management. However, EBITDA and operating margins declined, indicating increased operating expenses.</t>
  </si>
  <si>
    <t>3. Working Capital Efficiency</t>
  </si>
  <si>
    <t>DSO decreased slightly, reflecting faster customer collections. Inventory days increased, suggesting slower inventory turnover. DPO increased significantly, meaning the company took longer to pay suppliers, which may have improved short-term cash flow.</t>
  </si>
  <si>
    <t>4. Capital Investment</t>
  </si>
  <si>
    <t>Capital expenditure remained around 4% of revenue, indicating continued investment in long-term assets while maintaining a relatively stable investment level.</t>
  </si>
  <si>
    <t>5. Leverage</t>
  </si>
  <si>
    <t>Debt-to-EBITDA increased from 3.53× to 3.96×, indicating that leverage rose relative to operating earnings. This could increase financial risk if earnings continue to decline.</t>
  </si>
  <si>
    <t>COCA COLA DASHBOARD</t>
  </si>
  <si>
    <t>TREND ANALYSIS</t>
  </si>
  <si>
    <t>FY2025E</t>
  </si>
  <si>
    <t>FY2026E</t>
  </si>
  <si>
    <t>FY2027E</t>
  </si>
  <si>
    <t>Revenue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</si>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</sst>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5" fillId="3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/>
    </xf>
    <xf numFmtId="0" fontId="0" fillId="3" borderId="0" xfId="0" applyFill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0" fontId="0" fillId="4" borderId="0" xfId="0" applyFill="1" applyAlignment="1">
      <alignment horizontal="center" wrapText="1"/>
    </xf>
    <xf numFmtId="0" fontId="4" fillId="4" borderId="0" xfId="0" applyFont="1" applyFill="1" applyAlignment="1">
      <alignment horizontal="center" wrapText="1"/>
    </xf>
    <xf numFmtId="0" fontId="3" fillId="5" borderId="0" xfId="0" applyFont="1" applyFill="1" applyAlignment="1">
      <alignment horizontal="center" wrapText="1"/>
    </xf>
    <xf numFmtId="0" fontId="3" fillId="6" borderId="0" xfId="0" applyFont="1" applyFill="1" applyAlignment="1">
      <alignment horizontal="center" wrapText="1"/>
    </xf>
    <xf numFmtId="0" fontId="3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right" vertical="center" wrapText="1"/>
    </xf>
    <xf numFmtId="0" fontId="0" fillId="5" borderId="0" xfId="0" applyFill="1" applyAlignment="1">
      <alignment vertical="center" wrapText="1"/>
    </xf>
    <xf numFmtId="0" fontId="0" fillId="5" borderId="0" xfId="0" applyFill="1" applyAlignment="1">
      <alignment horizontal="right" vertical="center" wrapText="1"/>
    </xf>
    <xf numFmtId="0" fontId="0" fillId="8" borderId="0" xfId="0" applyFill="1" applyAlignment="1">
      <alignment vertical="center" wrapText="1"/>
    </xf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'ratio analysis'!$A$3</c:f>
              <c:strCache>
                <c:ptCount val="1"/>
                <c:pt idx="0">
                  <c:v>Gross Margin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'ratio analysis'!$B$1:$D$1</c:f>
              <c:strCache>
                <c:ptCount val="3"/>
                <c:pt idx="0">
                  <c:v>FY2024</c:v>
                </c:pt>
                <c:pt idx="1">
                  <c:v>FY2023</c:v>
                </c:pt>
                <c:pt idx="2">
                  <c:v>FY2022</c:v>
                </c:pt>
              </c:strCache>
            </c:strRef>
          </c:cat>
          <c:val>
            <c:numRef>
              <c:f>'ratio analysis'!$B$3:$D$3</c:f>
              <c:numCache>
                <c:formatCode>General</c:formatCode>
                <c:ptCount val="3"/>
                <c:pt idx="0">
                  <c:v>0.61063300822336963</c:v>
                </c:pt>
                <c:pt idx="1">
                  <c:v>0.5952266468505486</c:v>
                </c:pt>
                <c:pt idx="2">
                  <c:v>0.58143428518277374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23-4AB8-82F7-4B82FD25F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8994575"/>
        <c:axId val="14621394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'ratio analysis'!$A$2</c15:sqref>
                        </c15:formulaRef>
                      </c:ext>
                    </c:extLst>
                    <c:strCache>
                      <c:ptCount val="1"/>
                      <c:pt idx="0">
                        <c:v>Revenue Growth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'ratio analysis'!$B$2:$D$2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-2.8565808453905668E-2</c:v>
                      </c:pt>
                      <c:pt idx="1">
                        <c:v>6.3947539763742914E-2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A823-4AB8-82F7-4B82FD25F92F}"/>
                  </c:ext>
                </c:extLst>
              </c15:ser>
            </c15:filteredLineSeries>
          </c:ext>
        </c:extLst>
      </c:lineChart>
      <c:catAx>
        <c:axId val="1468994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2139439"/>
        <c:crosses val="autoZero"/>
        <c:auto val="1"/>
        <c:lblAlgn val="ctr"/>
        <c:lblOffset val="100"/>
        <c:noMultiLvlLbl val="0"/>
      </c:catAx>
      <c:valAx>
        <c:axId val="1462139439"/>
        <c:scaling>
          <c:orientation val="minMax"/>
        </c:scaling>
        <c:delete val="0"/>
        <c:axPos val="l"/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899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161307001462237E-2"/>
          <c:y val="0.19020520500916821"/>
          <c:w val="0.87929947406440145"/>
          <c:h val="0.57352092611384053"/>
        </c:manualLayout>
      </c:layout>
      <c:lineChart>
        <c:grouping val="standard"/>
        <c:varyColors val="0"/>
        <c:ser>
          <c:idx val="4"/>
          <c:order val="4"/>
          <c:tx>
            <c:strRef>
              <c:f>'ratio analysis'!$A$6</c:f>
              <c:strCache>
                <c:ptCount val="1"/>
                <c:pt idx="0">
                  <c:v>Operating Margin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'ratio analysis'!$B$1:$D$1</c:f>
              <c:strCache>
                <c:ptCount val="3"/>
                <c:pt idx="0">
                  <c:v>FY2024</c:v>
                </c:pt>
                <c:pt idx="1">
                  <c:v>FY2023</c:v>
                </c:pt>
                <c:pt idx="2">
                  <c:v>FY2022</c:v>
                </c:pt>
              </c:strCache>
            </c:strRef>
          </c:cat>
          <c:val>
            <c:numRef>
              <c:f>'ratio analysis'!$B$6:$D$6</c:f>
              <c:numCache>
                <c:formatCode>General</c:formatCode>
                <c:ptCount val="3"/>
                <c:pt idx="0">
                  <c:v>0.21232018019166612</c:v>
                </c:pt>
                <c:pt idx="1">
                  <c:v>0.24721335839489444</c:v>
                </c:pt>
                <c:pt idx="2">
                  <c:v>0.25367407683006232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30-4354-8261-3666DA3B35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2529471"/>
        <c:axId val="194911694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'ratio analysis'!$A$2</c15:sqref>
                        </c15:formulaRef>
                      </c:ext>
                    </c:extLst>
                    <c:strCache>
                      <c:ptCount val="1"/>
                      <c:pt idx="0">
                        <c:v>Revenue Growth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'ratio analysis'!$B$2:$D$2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-2.8565808453905668E-2</c:v>
                      </c:pt>
                      <c:pt idx="1">
                        <c:v>6.3947539763742914E-2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6C30-4354-8261-3666DA3B35C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analysis'!$A$3</c15:sqref>
                        </c15:formulaRef>
                      </c:ext>
                    </c:extLst>
                    <c:strCache>
                      <c:ptCount val="1"/>
                      <c:pt idx="0">
                        <c:v>Gross Margin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analysis'!$B$3:$D$3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0.61063300822336963</c:v>
                      </c:pt>
                      <c:pt idx="1">
                        <c:v>0.5952266468505486</c:v>
                      </c:pt>
                      <c:pt idx="2">
                        <c:v>0.58143428518277374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6C30-4354-8261-3666DA3B35C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analysis'!$A$4</c15:sqref>
                        </c15:formulaRef>
                      </c:ext>
                    </c:extLst>
                    <c:strCache>
                      <c:ptCount val="1"/>
                      <c:pt idx="0">
                        <c:v>EBITDA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analysis'!$B$4:$D$4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11067</c:v>
                      </c:pt>
                      <c:pt idx="1">
                        <c:v>12439</c:v>
                      </c:pt>
                      <c:pt idx="2">
                        <c:v>12169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6C30-4354-8261-3666DA3B35C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analysis'!$A$5</c15:sqref>
                        </c15:formulaRef>
                      </c:ext>
                    </c:extLst>
                    <c:strCache>
                      <c:ptCount val="1"/>
                      <c:pt idx="0">
                        <c:v>EBITDA Margin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analysis'!$B$5:$D$5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0.23516287371709058</c:v>
                      </c:pt>
                      <c:pt idx="1">
                        <c:v>0.27186694059535776</c:v>
                      </c:pt>
                      <c:pt idx="2">
                        <c:v>0.28297367686726815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6C30-4354-8261-3666DA3B35CE}"/>
                  </c:ext>
                </c:extLst>
              </c15:ser>
            </c15:filteredLineSeries>
          </c:ext>
        </c:extLst>
      </c:lineChart>
      <c:catAx>
        <c:axId val="1822529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116943"/>
        <c:crosses val="autoZero"/>
        <c:auto val="1"/>
        <c:lblAlgn val="ctr"/>
        <c:lblOffset val="100"/>
        <c:noMultiLvlLbl val="0"/>
      </c:catAx>
      <c:valAx>
        <c:axId val="1949116943"/>
        <c:scaling>
          <c:orientation val="minMax"/>
        </c:scaling>
        <c:delete val="0"/>
        <c:axPos val="l"/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2529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Working</a:t>
            </a:r>
            <a:r>
              <a:rPr lang="en-IN" baseline="0"/>
              <a:t> Capital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6"/>
          <c:order val="6"/>
          <c:tx>
            <c:strRef>
              <c:f>'ratio analysis'!$A$8</c:f>
              <c:strCache>
                <c:ptCount val="1"/>
                <c:pt idx="0">
                  <c:v>DSO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'ratio analysis'!$B$1:$D$1</c:f>
              <c:strCache>
                <c:ptCount val="3"/>
                <c:pt idx="0">
                  <c:v>FY2024</c:v>
                </c:pt>
                <c:pt idx="1">
                  <c:v>FY2023</c:v>
                </c:pt>
                <c:pt idx="2">
                  <c:v>FY2022</c:v>
                </c:pt>
              </c:strCache>
            </c:strRef>
          </c:cat>
          <c:val>
            <c:numRef>
              <c:f>'ratio analysis'!$B$8:$D$8</c:f>
              <c:numCache>
                <c:formatCode>General</c:formatCode>
                <c:ptCount val="3"/>
                <c:pt idx="0">
                  <c:v>27.680776014109345</c:v>
                </c:pt>
                <c:pt idx="1">
                  <c:v>28.47149975958386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4E-4D44-9E9C-80951B1553C1}"/>
            </c:ext>
          </c:extLst>
        </c:ser>
        <c:ser>
          <c:idx val="7"/>
          <c:order val="7"/>
          <c:tx>
            <c:strRef>
              <c:f>'ratio analysis'!$A$9</c:f>
              <c:strCache>
                <c:ptCount val="1"/>
                <c:pt idx="0">
                  <c:v>DIO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'ratio analysis'!$B$1:$D$1</c:f>
              <c:strCache>
                <c:ptCount val="3"/>
                <c:pt idx="0">
                  <c:v>FY2024</c:v>
                </c:pt>
                <c:pt idx="1">
                  <c:v>FY2023</c:v>
                </c:pt>
                <c:pt idx="2">
                  <c:v>FY2022</c:v>
                </c:pt>
              </c:strCache>
            </c:strRef>
          </c:cat>
          <c:val>
            <c:numRef>
              <c:f>'ratio analysis'!$B$9:$D$9</c:f>
              <c:numCache>
                <c:formatCode>General</c:formatCode>
                <c:ptCount val="3"/>
                <c:pt idx="0">
                  <c:v>94.1781270464964</c:v>
                </c:pt>
                <c:pt idx="1">
                  <c:v>87.190064794816408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4E-4D44-9E9C-80951B1553C1}"/>
            </c:ext>
          </c:extLst>
        </c:ser>
        <c:ser>
          <c:idx val="8"/>
          <c:order val="8"/>
          <c:tx>
            <c:strRef>
              <c:f>'ratio analysis'!$A$10</c:f>
              <c:strCache>
                <c:ptCount val="1"/>
                <c:pt idx="0">
                  <c:v>DPO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'ratio analysis'!$B$1:$D$1</c:f>
              <c:strCache>
                <c:ptCount val="3"/>
                <c:pt idx="0">
                  <c:v>FY2024</c:v>
                </c:pt>
                <c:pt idx="1">
                  <c:v>FY2023</c:v>
                </c:pt>
                <c:pt idx="2">
                  <c:v>FY2022</c:v>
                </c:pt>
              </c:strCache>
            </c:strRef>
          </c:cat>
          <c:val>
            <c:numRef>
              <c:f>'ratio analysis'!$B$10:$D$10</c:f>
              <c:numCache>
                <c:formatCode>General</c:formatCode>
                <c:ptCount val="3"/>
                <c:pt idx="0">
                  <c:v>432.54611438550535</c:v>
                </c:pt>
                <c:pt idx="1">
                  <c:v>305.18493520518359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4E-4D44-9E9C-80951B1553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1716127"/>
        <c:axId val="194911070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'ratio analysis'!$A$2</c15:sqref>
                        </c15:formulaRef>
                      </c:ext>
                    </c:extLst>
                    <c:strCache>
                      <c:ptCount val="1"/>
                      <c:pt idx="0">
                        <c:v>Revenue Growth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'ratio analysis'!$B$2:$D$2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-2.8565808453905668E-2</c:v>
                      </c:pt>
                      <c:pt idx="1">
                        <c:v>6.3947539763742914E-2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094E-4D44-9E9C-80951B1553C1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analysis'!$A$3</c15:sqref>
                        </c15:formulaRef>
                      </c:ext>
                    </c:extLst>
                    <c:strCache>
                      <c:ptCount val="1"/>
                      <c:pt idx="0">
                        <c:v>Gross Margin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analysis'!$B$3:$D$3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0.61063300822336963</c:v>
                      </c:pt>
                      <c:pt idx="1">
                        <c:v>0.5952266468505486</c:v>
                      </c:pt>
                      <c:pt idx="2">
                        <c:v>0.58143428518277374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094E-4D44-9E9C-80951B1553C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analysis'!$A$4</c15:sqref>
                        </c15:formulaRef>
                      </c:ext>
                    </c:extLst>
                    <c:strCache>
                      <c:ptCount val="1"/>
                      <c:pt idx="0">
                        <c:v>EBITDA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analysis'!$B$4:$D$4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11067</c:v>
                      </c:pt>
                      <c:pt idx="1">
                        <c:v>12439</c:v>
                      </c:pt>
                      <c:pt idx="2">
                        <c:v>12169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094E-4D44-9E9C-80951B1553C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analysis'!$A$5</c15:sqref>
                        </c15:formulaRef>
                      </c:ext>
                    </c:extLst>
                    <c:strCache>
                      <c:ptCount val="1"/>
                      <c:pt idx="0">
                        <c:v>EBITDA Margin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analysis'!$B$5:$D$5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0.23516287371709058</c:v>
                      </c:pt>
                      <c:pt idx="1">
                        <c:v>0.27186694059535776</c:v>
                      </c:pt>
                      <c:pt idx="2">
                        <c:v>0.28297367686726815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094E-4D44-9E9C-80951B1553C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analysis'!$A$6</c15:sqref>
                        </c15:formulaRef>
                      </c:ext>
                    </c:extLst>
                    <c:strCache>
                      <c:ptCount val="1"/>
                      <c:pt idx="0">
                        <c:v>Operating Margin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analysis'!$B$6:$D$6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0.21232018019166612</c:v>
                      </c:pt>
                      <c:pt idx="1">
                        <c:v>0.24721335839489444</c:v>
                      </c:pt>
                      <c:pt idx="2">
                        <c:v>0.25367407683006232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094E-4D44-9E9C-80951B1553C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analysis'!$A$7</c15:sqref>
                        </c15:formulaRef>
                      </c:ext>
                    </c:extLst>
                    <c:strCache>
                      <c:ptCount val="1"/>
                      <c:pt idx="0">
                        <c:v>Net Margin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analysis'!$B$7:$D$7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0.22589830220352308</c:v>
                      </c:pt>
                      <c:pt idx="1">
                        <c:v>0.23416531887922368</c:v>
                      </c:pt>
                      <c:pt idx="2">
                        <c:v>0.22188633615477629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094E-4D44-9E9C-80951B1553C1}"/>
                  </c:ext>
                </c:extLst>
              </c15:ser>
            </c15:filteredLineSeries>
          </c:ext>
        </c:extLst>
      </c:lineChart>
      <c:catAx>
        <c:axId val="1961716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110703"/>
        <c:crosses val="autoZero"/>
        <c:auto val="1"/>
        <c:lblAlgn val="ctr"/>
        <c:lblOffset val="100"/>
        <c:noMultiLvlLbl val="0"/>
      </c:catAx>
      <c:valAx>
        <c:axId val="194911070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71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7" Type="http://schemas.openxmlformats.org/officeDocument/2006/relationships/image" Target="../media/image4.sv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339587</xdr:colOff>
      <xdr:row>18</xdr:row>
      <xdr:rowOff>33131</xdr:rowOff>
    </xdr:from>
    <xdr:to>
      <xdr:col>6</xdr:col>
      <xdr:colOff>571500</xdr:colOff>
      <xdr:row>31</xdr:row>
      <xdr:rowOff>66260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3F9818-CCBC-44EE-AD8B-B8C5DB846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132522</xdr:colOff>
      <xdr:row>13</xdr:row>
      <xdr:rowOff>157370</xdr:rowOff>
    </xdr:from>
    <xdr:to>
      <xdr:col>10</xdr:col>
      <xdr:colOff>157370</xdr:colOff>
      <xdr:row>17</xdr:row>
      <xdr:rowOff>66261</xdr:rowOff>
    </xdr:to>
    <xdr:pic>
      <xdr:nvPicPr>
        <xdr:cNvPr id="4" name="Graphic 3" descr="Bar chart with solid fill">
          <a:extLst>
            <a:ext uri="{FF2B5EF4-FFF2-40B4-BE49-F238E27FC236}">
              <a16:creationId xmlns:a16="http://schemas.microsoft.com/office/drawing/2014/main" id="{DDF2DA04-A562-5911-A9F2-2BC60097B2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648739" y="1797327"/>
          <a:ext cx="637761" cy="637761"/>
        </a:xfrm>
        <a:prstGeom prst="rect">
          <a:avLst/>
        </a:prstGeom>
      </xdr:spPr>
    </xdr:pic>
    <xdr:clientData/>
  </xdr:twoCellAnchor>
  <xdr:twoCellAnchor>
    <xdr:from>
      <xdr:col>7</xdr:col>
      <xdr:colOff>389281</xdr:colOff>
      <xdr:row>18</xdr:row>
      <xdr:rowOff>24849</xdr:rowOff>
    </xdr:from>
    <xdr:to>
      <xdr:col>14</xdr:col>
      <xdr:colOff>496956</xdr:colOff>
      <xdr:row>31</xdr:row>
      <xdr:rowOff>132521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BC38BA7-B6A0-4C30-8E4B-261C7616DF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281608</xdr:colOff>
      <xdr:row>17</xdr:row>
      <xdr:rowOff>182216</xdr:rowOff>
    </xdr:from>
    <xdr:to>
      <xdr:col>23</xdr:col>
      <xdr:colOff>41413</xdr:colOff>
      <xdr:row>31</xdr:row>
      <xdr:rowOff>124239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16DBFB4-461B-47EF-88A2-80DF81EE42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215349</xdr:colOff>
      <xdr:row>0</xdr:row>
      <xdr:rowOff>149086</xdr:rowOff>
    </xdr:from>
    <xdr:to>
      <xdr:col>11</xdr:col>
      <xdr:colOff>223632</xdr:colOff>
      <xdr:row>4</xdr:row>
      <xdr:rowOff>41412</xdr:rowOff>
    </xdr:to>
    <xdr:pic>
      <xdr:nvPicPr>
        <xdr:cNvPr id="8" name="Graphic 7" descr="Books on shelf with solid fill">
          <a:extLst>
            <a:ext uri="{FF2B5EF4-FFF2-40B4-BE49-F238E27FC236}">
              <a16:creationId xmlns:a16="http://schemas.microsoft.com/office/drawing/2014/main" id="{B14D0247-11CA-6181-24F8-8DDEB60D59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6344479" y="149086"/>
          <a:ext cx="621196" cy="62119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402EC-33EA-45E6-AC4E-092C2309096A}">
  <dimension ref="A1:D13"/>
  <sheetViews>
    <sheetView zoomScale="81" workbookViewId="0">
      <selection activeCell="H6" sqref="H6"/>
    </sheetView>
  </sheetViews>
  <sheetFormatPr defaultRowHeight="14.4" x14ac:dyDescent="0.3"/>
  <cols>
    <col min="1" max="1" width="15.44140625" customWidth="1"/>
    <col min="2" max="2" width="18.44140625" customWidth="1"/>
    <col min="3" max="3" width="16.21875" customWidth="1"/>
    <col min="4" max="4" width="19.5546875" customWidth="1"/>
  </cols>
  <sheetData>
    <row r="1" spans="1:4" ht="43.2" x14ac:dyDescent="0.3">
      <c r="A1" s="15" t="s">
        <v>1</v>
      </c>
      <c r="B1" s="16" t="s">
        <v>2</v>
      </c>
      <c r="C1" s="16" t="s">
        <v>3</v>
      </c>
      <c r="D1" s="16" t="s">
        <v>4</v>
      </c>
    </row>
    <row r="2" spans="1:4" ht="57.6" x14ac:dyDescent="0.3">
      <c r="A2" s="17" t="s">
        <v>5</v>
      </c>
      <c r="B2" s="18">
        <v>47061</v>
      </c>
      <c r="C2" s="18">
        <v>45754</v>
      </c>
      <c r="D2" s="18">
        <v>43004</v>
      </c>
    </row>
    <row r="3" spans="1:4" ht="43.2" x14ac:dyDescent="0.3">
      <c r="A3" s="17" t="s">
        <v>6</v>
      </c>
      <c r="B3" s="18">
        <v>18324</v>
      </c>
      <c r="C3" s="18">
        <v>18520</v>
      </c>
      <c r="D3" s="18">
        <v>18000</v>
      </c>
    </row>
    <row r="4" spans="1:4" ht="28.8" x14ac:dyDescent="0.3">
      <c r="A4" s="17" t="s">
        <v>7</v>
      </c>
      <c r="B4" s="18">
        <v>28737</v>
      </c>
      <c r="C4" s="18">
        <v>27234</v>
      </c>
      <c r="D4" s="18">
        <v>25004</v>
      </c>
    </row>
    <row r="5" spans="1:4" ht="86.4" x14ac:dyDescent="0.3">
      <c r="A5" s="17" t="s">
        <v>8</v>
      </c>
      <c r="B5" s="18">
        <v>14582</v>
      </c>
      <c r="C5" s="18">
        <v>13972</v>
      </c>
      <c r="D5" s="18">
        <v>12880</v>
      </c>
    </row>
    <row r="6" spans="1:4" ht="43.2" x14ac:dyDescent="0.3">
      <c r="A6" s="17" t="s">
        <v>9</v>
      </c>
      <c r="B6" s="18">
        <v>4163</v>
      </c>
      <c r="C6" s="18">
        <v>1951</v>
      </c>
      <c r="D6" s="18">
        <v>1215</v>
      </c>
    </row>
    <row r="7" spans="1:4" ht="28.8" x14ac:dyDescent="0.3">
      <c r="A7" s="17" t="s">
        <v>10</v>
      </c>
      <c r="B7" s="18">
        <v>9992</v>
      </c>
      <c r="C7" s="18">
        <v>11311</v>
      </c>
      <c r="D7" s="18">
        <v>10909</v>
      </c>
    </row>
    <row r="8" spans="1:4" ht="28.8" x14ac:dyDescent="0.3">
      <c r="A8" s="17" t="s">
        <v>11</v>
      </c>
      <c r="B8" s="18">
        <v>988</v>
      </c>
      <c r="C8" s="18">
        <v>907</v>
      </c>
      <c r="D8" s="18">
        <v>449</v>
      </c>
    </row>
    <row r="9" spans="1:4" ht="28.8" x14ac:dyDescent="0.3">
      <c r="A9" s="17" t="s">
        <v>12</v>
      </c>
      <c r="B9" s="18">
        <v>1656</v>
      </c>
      <c r="C9" s="18">
        <v>1527</v>
      </c>
      <c r="D9" s="18">
        <v>882</v>
      </c>
    </row>
    <row r="10" spans="1:4" ht="43.2" x14ac:dyDescent="0.3">
      <c r="A10" s="17" t="s">
        <v>13</v>
      </c>
      <c r="B10" s="18">
        <v>13086</v>
      </c>
      <c r="C10" s="18">
        <v>12952</v>
      </c>
      <c r="D10" s="18">
        <v>11686</v>
      </c>
    </row>
    <row r="11" spans="1:4" ht="28.8" x14ac:dyDescent="0.3">
      <c r="A11" s="17" t="s">
        <v>14</v>
      </c>
      <c r="B11" s="18">
        <v>2437</v>
      </c>
      <c r="C11" s="18">
        <v>2249</v>
      </c>
      <c r="D11" s="18">
        <v>2115</v>
      </c>
    </row>
    <row r="12" spans="1:4" ht="43.2" x14ac:dyDescent="0.3">
      <c r="A12" s="17" t="s">
        <v>0</v>
      </c>
      <c r="B12" s="18">
        <v>10649</v>
      </c>
      <c r="C12" s="18">
        <v>10703</v>
      </c>
      <c r="D12" s="18">
        <v>9571</v>
      </c>
    </row>
    <row r="13" spans="1:4" ht="43.2" x14ac:dyDescent="0.3">
      <c r="A13" s="17" t="s">
        <v>15</v>
      </c>
      <c r="B13" s="18">
        <v>10631</v>
      </c>
      <c r="C13" s="18">
        <v>10714</v>
      </c>
      <c r="D13" s="18">
        <v>9542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EDA4A-A895-434D-80A9-C8E9A1702E81}">
  <dimension ref="A1:C14"/>
  <sheetViews>
    <sheetView zoomScale="83" workbookViewId="0">
      <selection activeCell="H4" sqref="H4"/>
    </sheetView>
  </sheetViews>
  <sheetFormatPr defaultRowHeight="14.4" x14ac:dyDescent="0.3"/>
  <cols>
    <col min="1" max="1" width="19" customWidth="1"/>
    <col min="2" max="2" width="20.77734375" customWidth="1"/>
    <col min="3" max="3" width="21.6640625" customWidth="1"/>
  </cols>
  <sheetData>
    <row r="1" spans="1:3" ht="28.8" x14ac:dyDescent="0.3">
      <c r="A1" s="15" t="s">
        <v>16</v>
      </c>
      <c r="B1" s="16" t="s">
        <v>17</v>
      </c>
      <c r="C1" s="16" t="s">
        <v>18</v>
      </c>
    </row>
    <row r="2" spans="1:3" ht="57.6" x14ac:dyDescent="0.3">
      <c r="A2" s="17" t="s">
        <v>19</v>
      </c>
      <c r="B2" s="18">
        <v>10828</v>
      </c>
      <c r="C2" s="18">
        <v>9366</v>
      </c>
    </row>
    <row r="3" spans="1:3" ht="57.6" x14ac:dyDescent="0.3">
      <c r="A3" s="17" t="s">
        <v>20</v>
      </c>
      <c r="B3" s="18">
        <v>2020</v>
      </c>
      <c r="C3" s="18">
        <v>2997</v>
      </c>
    </row>
    <row r="4" spans="1:3" x14ac:dyDescent="0.3">
      <c r="A4" s="17" t="s">
        <v>21</v>
      </c>
      <c r="B4" s="18">
        <v>3569</v>
      </c>
      <c r="C4" s="18">
        <v>3410</v>
      </c>
    </row>
    <row r="5" spans="1:3" x14ac:dyDescent="0.3">
      <c r="A5" s="17" t="s">
        <v>22</v>
      </c>
      <c r="B5" s="18">
        <v>4728</v>
      </c>
      <c r="C5" s="18">
        <v>4424</v>
      </c>
    </row>
    <row r="6" spans="1:3" ht="43.2" x14ac:dyDescent="0.3">
      <c r="A6" s="17" t="s">
        <v>23</v>
      </c>
      <c r="B6" s="18">
        <v>25997</v>
      </c>
      <c r="C6" s="18">
        <v>26732</v>
      </c>
    </row>
    <row r="7" spans="1:3" ht="57.6" x14ac:dyDescent="0.3">
      <c r="A7" s="17" t="s">
        <v>24</v>
      </c>
      <c r="B7" s="18">
        <v>10303</v>
      </c>
      <c r="C7" s="18">
        <v>9236</v>
      </c>
    </row>
    <row r="8" spans="1:3" ht="28.8" x14ac:dyDescent="0.3">
      <c r="A8" s="17" t="s">
        <v>25</v>
      </c>
      <c r="B8" s="18">
        <v>100549</v>
      </c>
      <c r="C8" s="18">
        <v>97703</v>
      </c>
    </row>
    <row r="9" spans="1:3" ht="72" x14ac:dyDescent="0.3">
      <c r="A9" s="17" t="s">
        <v>26</v>
      </c>
      <c r="B9" s="18">
        <v>21715</v>
      </c>
      <c r="C9" s="18">
        <v>15485</v>
      </c>
    </row>
    <row r="10" spans="1:3" ht="43.2" x14ac:dyDescent="0.3">
      <c r="A10" s="17" t="s">
        <v>27</v>
      </c>
      <c r="B10" s="18">
        <v>1499</v>
      </c>
      <c r="C10" s="18">
        <v>4557</v>
      </c>
    </row>
    <row r="11" spans="1:3" ht="72" x14ac:dyDescent="0.3">
      <c r="A11" s="17" t="s">
        <v>28</v>
      </c>
      <c r="B11" s="18">
        <v>648</v>
      </c>
      <c r="C11" s="18">
        <v>1960</v>
      </c>
    </row>
    <row r="12" spans="1:3" x14ac:dyDescent="0.3">
      <c r="A12" s="17" t="s">
        <v>29</v>
      </c>
      <c r="B12" s="18">
        <v>42375</v>
      </c>
      <c r="C12" s="18">
        <v>35547</v>
      </c>
    </row>
    <row r="13" spans="1:3" x14ac:dyDescent="0.3">
      <c r="A13" s="17" t="s">
        <v>30</v>
      </c>
      <c r="B13" s="18">
        <v>74177</v>
      </c>
      <c r="C13" s="18">
        <v>70223</v>
      </c>
    </row>
    <row r="14" spans="1:3" x14ac:dyDescent="0.3">
      <c r="A14" s="17" t="s">
        <v>31</v>
      </c>
      <c r="B14" s="18">
        <v>26372</v>
      </c>
      <c r="C14" s="18">
        <v>27480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0BCA2-F5C7-4D12-B09A-D38E704466BB}">
  <dimension ref="A1:D8"/>
  <sheetViews>
    <sheetView topLeftCell="A2" workbookViewId="0">
      <selection activeCell="F4" sqref="F4"/>
    </sheetView>
  </sheetViews>
  <sheetFormatPr defaultRowHeight="14.4" x14ac:dyDescent="0.3"/>
  <cols>
    <col min="1" max="1" width="19.33203125" customWidth="1"/>
    <col min="2" max="2" width="16" customWidth="1"/>
    <col min="3" max="3" width="14" customWidth="1"/>
    <col min="4" max="4" width="15.88671875" customWidth="1"/>
  </cols>
  <sheetData>
    <row r="1" spans="1:4" ht="28.8" x14ac:dyDescent="0.3">
      <c r="A1" s="15" t="s">
        <v>16</v>
      </c>
      <c r="B1" s="16" t="s">
        <v>17</v>
      </c>
      <c r="C1" s="16" t="s">
        <v>18</v>
      </c>
      <c r="D1" s="16" t="s">
        <v>32</v>
      </c>
    </row>
    <row r="2" spans="1:4" ht="43.2" x14ac:dyDescent="0.3">
      <c r="A2" s="17" t="s">
        <v>0</v>
      </c>
      <c r="B2" s="18">
        <v>10649</v>
      </c>
      <c r="C2" s="18">
        <v>10703</v>
      </c>
      <c r="D2" s="18">
        <v>9571</v>
      </c>
    </row>
    <row r="3" spans="1:4" ht="57.6" x14ac:dyDescent="0.3">
      <c r="A3" s="17" t="s">
        <v>33</v>
      </c>
      <c r="B3" s="18">
        <v>1075</v>
      </c>
      <c r="C3" s="18">
        <v>1128</v>
      </c>
      <c r="D3" s="18">
        <v>1260</v>
      </c>
    </row>
    <row r="4" spans="1:4" ht="86.4" x14ac:dyDescent="0.3">
      <c r="A4" s="17" t="s">
        <v>34</v>
      </c>
      <c r="B4" s="18">
        <v>6805</v>
      </c>
      <c r="C4" s="18">
        <v>11599</v>
      </c>
      <c r="D4" s="18">
        <v>11018</v>
      </c>
    </row>
    <row r="5" spans="1:4" ht="100.8" x14ac:dyDescent="0.3">
      <c r="A5" s="17" t="s">
        <v>35</v>
      </c>
      <c r="B5" s="18">
        <v>-2064</v>
      </c>
      <c r="C5" s="18">
        <v>-1852</v>
      </c>
      <c r="D5" s="18">
        <v>-1484</v>
      </c>
    </row>
    <row r="6" spans="1:4" ht="57.6" x14ac:dyDescent="0.3">
      <c r="A6" s="17" t="s">
        <v>36</v>
      </c>
      <c r="B6" s="18">
        <v>2524</v>
      </c>
      <c r="C6" s="18">
        <v>-3349</v>
      </c>
      <c r="D6" s="18">
        <v>-763</v>
      </c>
    </row>
    <row r="7" spans="1:4" ht="57.6" x14ac:dyDescent="0.3">
      <c r="A7" s="17" t="s">
        <v>37</v>
      </c>
      <c r="B7" s="18">
        <v>-6910</v>
      </c>
      <c r="C7" s="18">
        <v>-8310</v>
      </c>
      <c r="D7" s="18">
        <v>-10250</v>
      </c>
    </row>
    <row r="8" spans="1:4" ht="43.2" x14ac:dyDescent="0.3">
      <c r="A8" s="17" t="s">
        <v>38</v>
      </c>
      <c r="B8" s="18">
        <v>10828</v>
      </c>
      <c r="C8" s="18">
        <v>9366</v>
      </c>
      <c r="D8" s="18">
        <v>9519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37C64-FA00-48C0-AEFD-D27FDD19ACD5}">
  <dimension ref="A1:X31"/>
  <sheetViews>
    <sheetView zoomScale="148" zoomScaleNormal="65" workbookViewId="0">
      <selection activeCell="F6" sqref="F6"/>
    </sheetView>
  </sheetViews>
  <sheetFormatPr defaultRowHeight="14.4" x14ac:dyDescent="0.3"/>
  <cols>
    <col min="1" max="1" width="19.6640625" customWidth="1"/>
    <col min="2" max="2" width="17.6640625" customWidth="1"/>
    <col min="3" max="3" width="18.44140625" customWidth="1"/>
    <col min="4" max="4" width="20" customWidth="1"/>
    <col min="5" max="5" width="51.21875" customWidth="1"/>
  </cols>
  <sheetData>
    <row r="1" spans="1:5" x14ac:dyDescent="0.3">
      <c r="A1" s="15" t="s">
        <v>39</v>
      </c>
      <c r="B1" s="16" t="s">
        <v>17</v>
      </c>
      <c r="C1" s="16" t="s">
        <v>18</v>
      </c>
      <c r="D1" s="16" t="s">
        <v>32</v>
      </c>
      <c r="E1" s="15" t="s">
        <v>40</v>
      </c>
    </row>
    <row r="2" spans="1:5" ht="28.8" x14ac:dyDescent="0.3">
      <c r="A2" s="17" t="s">
        <v>41</v>
      </c>
      <c r="B2" s="18">
        <f>('income statement'!C2-'income statement'!B2)/'income statement'!C2</f>
        <v>-2.8565808453905668E-2</v>
      </c>
      <c r="C2" s="18">
        <f>('income statement'!C2-'income statement'!D2)/'income statement'!D2</f>
        <v>6.3947539763742914E-2</v>
      </c>
      <c r="D2" s="18"/>
      <c r="E2" s="17" t="s">
        <v>42</v>
      </c>
    </row>
    <row r="3" spans="1:5" x14ac:dyDescent="0.3">
      <c r="A3" s="17" t="s">
        <v>43</v>
      </c>
      <c r="B3" s="18">
        <f>('income statement'!B2-'income statement'!B3)/'income statement'!B2</f>
        <v>0.61063300822336963</v>
      </c>
      <c r="C3" s="18">
        <f>('income statement'!C2-'income statement'!C3)/'income statement'!C2</f>
        <v>0.5952266468505486</v>
      </c>
      <c r="D3" s="18">
        <f>('income statement'!D2-'income statement'!D3)/'income statement'!D2</f>
        <v>0.58143428518277374</v>
      </c>
      <c r="E3" s="17" t="s">
        <v>44</v>
      </c>
    </row>
    <row r="4" spans="1:5" x14ac:dyDescent="0.3">
      <c r="A4" s="17" t="s">
        <v>45</v>
      </c>
      <c r="B4" s="18">
        <f>'income statement'!B7+'cash flow'!B3</f>
        <v>11067</v>
      </c>
      <c r="C4" s="18">
        <f>'income statement'!C7+'cash flow'!C3</f>
        <v>12439</v>
      </c>
      <c r="D4" s="18">
        <f>'income statement'!D7+'cash flow'!D3</f>
        <v>12169</v>
      </c>
      <c r="E4" s="17" t="s">
        <v>46</v>
      </c>
    </row>
    <row r="5" spans="1:5" ht="28.8" x14ac:dyDescent="0.3">
      <c r="A5" s="17" t="s">
        <v>47</v>
      </c>
      <c r="B5" s="18">
        <f>B4/'income statement'!B2</f>
        <v>0.23516287371709058</v>
      </c>
      <c r="C5" s="18">
        <f>C4/'income statement'!C2</f>
        <v>0.27186694059535776</v>
      </c>
      <c r="D5" s="18">
        <f>D4/'income statement'!D2</f>
        <v>0.28297367686726815</v>
      </c>
      <c r="E5" s="17" t="s">
        <v>48</v>
      </c>
    </row>
    <row r="6" spans="1:5" ht="57.6" x14ac:dyDescent="0.3">
      <c r="A6" s="17" t="s">
        <v>49</v>
      </c>
      <c r="B6" s="18">
        <f>'income statement'!B7/'income statement'!B2</f>
        <v>0.21232018019166612</v>
      </c>
      <c r="C6" s="18">
        <f>'income statement'!C7/'income statement'!C2</f>
        <v>0.24721335839489444</v>
      </c>
      <c r="D6" s="18">
        <f>'income statement'!D7/'income statement'!D2</f>
        <v>0.25367407683006232</v>
      </c>
      <c r="E6" s="17" t="s">
        <v>50</v>
      </c>
    </row>
    <row r="7" spans="1:5" ht="43.2" x14ac:dyDescent="0.3">
      <c r="A7" s="17" t="s">
        <v>51</v>
      </c>
      <c r="B7" s="18">
        <f>'income statement'!B13/'income statement'!B2</f>
        <v>0.22589830220352308</v>
      </c>
      <c r="C7" s="18">
        <f>'income statement'!C13/'income statement'!C2</f>
        <v>0.23416531887922368</v>
      </c>
      <c r="D7" s="18">
        <f>'income statement'!D13/'income statement'!D2</f>
        <v>0.22188633615477629</v>
      </c>
      <c r="E7" s="17" t="s">
        <v>52</v>
      </c>
    </row>
    <row r="8" spans="1:5" x14ac:dyDescent="0.3">
      <c r="A8" s="17" t="s">
        <v>53</v>
      </c>
      <c r="B8" s="18">
        <f>('balance sheet'!B4/'income statement'!B2)*365</f>
        <v>27.680776014109345</v>
      </c>
      <c r="C8" s="18">
        <f>('balance sheet'!B4/'income statement'!C2)*365</f>
        <v>28.47149975958386</v>
      </c>
      <c r="D8" s="18"/>
      <c r="E8" s="17" t="s">
        <v>54</v>
      </c>
    </row>
    <row r="9" spans="1:5" x14ac:dyDescent="0.3">
      <c r="A9" s="17" t="s">
        <v>55</v>
      </c>
      <c r="B9" s="18">
        <f>('balance sheet'!B5/'income statement'!B3)*365</f>
        <v>94.1781270464964</v>
      </c>
      <c r="C9" s="18">
        <f>('balance sheet'!C5/'income statement'!C3)*365</f>
        <v>87.190064794816408</v>
      </c>
      <c r="D9" s="18"/>
      <c r="E9" s="17" t="s">
        <v>56</v>
      </c>
    </row>
    <row r="10" spans="1:5" x14ac:dyDescent="0.3">
      <c r="A10" s="17" t="s">
        <v>57</v>
      </c>
      <c r="B10" s="18">
        <f>('balance sheet'!B9/'income statement'!B3)*365</f>
        <v>432.54611438550535</v>
      </c>
      <c r="C10" s="18">
        <f>('balance sheet'!C9/'income statement'!C3)*365</f>
        <v>305.18493520518359</v>
      </c>
      <c r="D10" s="18"/>
      <c r="E10" s="17" t="s">
        <v>58</v>
      </c>
    </row>
    <row r="11" spans="1:5" ht="28.8" x14ac:dyDescent="0.3">
      <c r="A11" s="17" t="s">
        <v>59</v>
      </c>
      <c r="B11" s="18">
        <f>ABS('cash flow'!B5)/'income statement'!B2</f>
        <v>4.3857971568814942E-2</v>
      </c>
      <c r="C11" s="18">
        <f>ABS('cash flow'!C5)/'income statement'!C2</f>
        <v>4.0477335314945143E-2</v>
      </c>
      <c r="D11" s="18"/>
      <c r="E11" s="17" t="s">
        <v>60</v>
      </c>
    </row>
    <row r="12" spans="1:5" ht="28.8" x14ac:dyDescent="0.3">
      <c r="A12" s="17" t="s">
        <v>61</v>
      </c>
      <c r="B12" s="18">
        <f>('balance sheet'!B10+'balance sheet'!B12)/'ratio analysis'!B4</f>
        <v>3.9643986626908827</v>
      </c>
      <c r="C12" s="18">
        <f>('balance sheet'!B10+'balance sheet'!B12)/'ratio analysis'!C4</f>
        <v>3.5271324061419729</v>
      </c>
      <c r="D12" s="18"/>
      <c r="E12" s="17" t="s">
        <v>62</v>
      </c>
    </row>
    <row r="20" spans="20:24" x14ac:dyDescent="0.3">
      <c r="T20" s="2"/>
      <c r="U20" s="4"/>
      <c r="V20" s="4"/>
      <c r="W20" s="4"/>
      <c r="X20" s="2"/>
    </row>
    <row r="21" spans="20:24" x14ac:dyDescent="0.3">
      <c r="T21" s="1"/>
      <c r="U21" s="3"/>
      <c r="V21" s="3"/>
      <c r="W21" s="3"/>
      <c r="X21" s="1"/>
    </row>
    <row r="22" spans="20:24" x14ac:dyDescent="0.3">
      <c r="T22" s="1"/>
      <c r="U22" s="3"/>
      <c r="V22" s="3"/>
      <c r="W22" s="3"/>
      <c r="X22" s="1"/>
    </row>
    <row r="23" spans="20:24" x14ac:dyDescent="0.3">
      <c r="T23" s="1"/>
      <c r="U23" s="3"/>
      <c r="V23" s="3"/>
      <c r="W23" s="3"/>
      <c r="X23" s="1"/>
    </row>
    <row r="24" spans="20:24" x14ac:dyDescent="0.3">
      <c r="T24" s="1"/>
      <c r="U24" s="3"/>
      <c r="V24" s="3"/>
      <c r="W24" s="3"/>
      <c r="X24" s="1"/>
    </row>
    <row r="25" spans="20:24" x14ac:dyDescent="0.3">
      <c r="T25" s="1"/>
      <c r="U25" s="3"/>
      <c r="V25" s="3"/>
      <c r="W25" s="3"/>
      <c r="X25" s="1"/>
    </row>
    <row r="26" spans="20:24" x14ac:dyDescent="0.3">
      <c r="T26" s="1"/>
      <c r="U26" s="3"/>
      <c r="V26" s="3"/>
      <c r="W26" s="3"/>
      <c r="X26" s="1"/>
    </row>
    <row r="27" spans="20:24" x14ac:dyDescent="0.3">
      <c r="T27" s="1"/>
      <c r="U27" s="3"/>
      <c r="V27" s="3"/>
      <c r="W27" s="3"/>
      <c r="X27" s="1"/>
    </row>
    <row r="28" spans="20:24" x14ac:dyDescent="0.3">
      <c r="T28" s="1"/>
      <c r="U28" s="3"/>
      <c r="V28" s="3"/>
      <c r="W28" s="3"/>
      <c r="X28" s="1"/>
    </row>
    <row r="29" spans="20:24" x14ac:dyDescent="0.3">
      <c r="T29" s="1"/>
      <c r="U29" s="3"/>
      <c r="V29" s="3"/>
      <c r="W29" s="3"/>
      <c r="X29" s="1"/>
    </row>
    <row r="30" spans="20:24" x14ac:dyDescent="0.3">
      <c r="T30" s="1"/>
      <c r="U30" s="3"/>
      <c r="V30" s="3"/>
      <c r="W30" s="3"/>
      <c r="X30" s="1"/>
    </row>
    <row r="31" spans="20:24" x14ac:dyDescent="0.3">
      <c r="T31" s="1"/>
      <c r="U31" s="3"/>
      <c r="V31" s="3"/>
      <c r="W31" s="3"/>
      <c r="X3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8B117-8C9D-43EA-AF65-33E0ECD71811}">
  <dimension ref="A1:Z17"/>
  <sheetViews>
    <sheetView showGridLines="0" zoomScale="92" workbookViewId="0">
      <selection activeCell="X24" sqref="X24"/>
    </sheetView>
  </sheetViews>
  <sheetFormatPr defaultRowHeight="14.4" x14ac:dyDescent="0.3"/>
  <sheetData>
    <row r="1" spans="1:26" x14ac:dyDescent="0.3">
      <c r="A1" s="14" t="s">
        <v>74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x14ac:dyDescent="0.3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x14ac:dyDescent="0.3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x14ac:dyDescent="0.3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4" customHeight="1" x14ac:dyDescent="0.3">
      <c r="A5" s="6" t="s">
        <v>65</v>
      </c>
      <c r="B5" s="7"/>
      <c r="C5" s="7"/>
      <c r="D5" s="7"/>
      <c r="E5" s="7"/>
      <c r="F5" s="12" t="s">
        <v>64</v>
      </c>
      <c r="G5" s="12"/>
      <c r="H5" s="12"/>
      <c r="I5" s="12"/>
      <c r="J5" s="12"/>
      <c r="K5" s="9" t="s">
        <v>67</v>
      </c>
      <c r="L5" s="9"/>
      <c r="M5" s="9"/>
      <c r="N5" s="9"/>
      <c r="O5" s="9"/>
      <c r="P5" s="12" t="s">
        <v>69</v>
      </c>
      <c r="Q5" s="12"/>
      <c r="R5" s="12"/>
      <c r="S5" s="12"/>
      <c r="T5" s="12"/>
      <c r="U5" s="6" t="s">
        <v>71</v>
      </c>
      <c r="V5" s="6"/>
      <c r="W5" s="6"/>
      <c r="X5" s="6"/>
      <c r="Y5" s="6"/>
    </row>
    <row r="6" spans="1:26" ht="14.4" customHeight="1" x14ac:dyDescent="0.3">
      <c r="A6" s="7"/>
      <c r="B6" s="7"/>
      <c r="C6" s="7"/>
      <c r="D6" s="7"/>
      <c r="E6" s="7"/>
      <c r="F6" s="12"/>
      <c r="G6" s="12"/>
      <c r="H6" s="12"/>
      <c r="I6" s="12"/>
      <c r="J6" s="12"/>
      <c r="K6" s="9"/>
      <c r="L6" s="9"/>
      <c r="M6" s="9"/>
      <c r="N6" s="9"/>
      <c r="O6" s="9"/>
      <c r="P6" s="12"/>
      <c r="Q6" s="12"/>
      <c r="R6" s="12"/>
      <c r="S6" s="12"/>
      <c r="T6" s="12"/>
      <c r="U6" s="6"/>
      <c r="V6" s="6"/>
      <c r="W6" s="6"/>
      <c r="X6" s="6"/>
      <c r="Y6" s="6"/>
    </row>
    <row r="7" spans="1:26" ht="14.4" customHeight="1" x14ac:dyDescent="0.3">
      <c r="A7" s="7"/>
      <c r="B7" s="7"/>
      <c r="C7" s="7"/>
      <c r="D7" s="7"/>
      <c r="E7" s="7"/>
      <c r="F7" s="12"/>
      <c r="G7" s="12"/>
      <c r="H7" s="12"/>
      <c r="I7" s="12"/>
      <c r="J7" s="12"/>
      <c r="K7" s="9"/>
      <c r="L7" s="9"/>
      <c r="M7" s="9"/>
      <c r="N7" s="9"/>
      <c r="O7" s="9"/>
      <c r="P7" s="12"/>
      <c r="Q7" s="12"/>
      <c r="R7" s="12"/>
      <c r="S7" s="12"/>
      <c r="T7" s="12"/>
      <c r="U7" s="6"/>
      <c r="V7" s="6"/>
      <c r="W7" s="6"/>
      <c r="X7" s="6"/>
      <c r="Y7" s="6"/>
    </row>
    <row r="8" spans="1:26" ht="14.4" customHeight="1" x14ac:dyDescent="0.3">
      <c r="A8" s="7"/>
      <c r="B8" s="7"/>
      <c r="C8" s="7"/>
      <c r="D8" s="7"/>
      <c r="E8" s="7"/>
      <c r="F8" s="12"/>
      <c r="G8" s="12"/>
      <c r="H8" s="12"/>
      <c r="I8" s="12"/>
      <c r="J8" s="12"/>
      <c r="K8" s="9"/>
      <c r="L8" s="9"/>
      <c r="M8" s="9"/>
      <c r="N8" s="9"/>
      <c r="O8" s="9"/>
      <c r="P8" s="12"/>
      <c r="Q8" s="12"/>
      <c r="R8" s="12"/>
      <c r="S8" s="12"/>
      <c r="T8" s="12"/>
      <c r="U8" s="6"/>
      <c r="V8" s="6"/>
      <c r="W8" s="6"/>
      <c r="X8" s="6"/>
      <c r="Y8" s="6"/>
    </row>
    <row r="9" spans="1:26" ht="14.4" customHeight="1" x14ac:dyDescent="0.3">
      <c r="A9" s="5" t="s">
        <v>63</v>
      </c>
      <c r="B9" s="5"/>
      <c r="C9" s="5"/>
      <c r="D9" s="5"/>
      <c r="E9" s="5"/>
      <c r="F9" s="11" t="s">
        <v>66</v>
      </c>
      <c r="G9" s="11"/>
      <c r="H9" s="11"/>
      <c r="I9" s="11"/>
      <c r="J9" s="11"/>
      <c r="K9" s="8" t="s">
        <v>68</v>
      </c>
      <c r="L9" s="8"/>
      <c r="M9" s="8"/>
      <c r="N9" s="8"/>
      <c r="O9" s="8"/>
      <c r="P9" s="10" t="s">
        <v>70</v>
      </c>
      <c r="Q9" s="10"/>
      <c r="R9" s="10"/>
      <c r="S9" s="10"/>
      <c r="T9" s="10"/>
      <c r="U9" s="8" t="s">
        <v>72</v>
      </c>
      <c r="V9" s="8"/>
      <c r="W9" s="8"/>
      <c r="X9" s="8"/>
      <c r="Y9" s="8"/>
    </row>
    <row r="10" spans="1:26" ht="14.4" customHeight="1" x14ac:dyDescent="0.3">
      <c r="A10" s="5"/>
      <c r="B10" s="5"/>
      <c r="C10" s="5"/>
      <c r="D10" s="5"/>
      <c r="E10" s="5"/>
      <c r="F10" s="11"/>
      <c r="G10" s="11"/>
      <c r="H10" s="11"/>
      <c r="I10" s="11"/>
      <c r="J10" s="11"/>
      <c r="K10" s="8"/>
      <c r="L10" s="8"/>
      <c r="M10" s="8"/>
      <c r="N10" s="8"/>
      <c r="O10" s="8"/>
      <c r="P10" s="10"/>
      <c r="Q10" s="10"/>
      <c r="R10" s="10"/>
      <c r="S10" s="10"/>
      <c r="T10" s="10"/>
      <c r="U10" s="8"/>
      <c r="V10" s="8"/>
      <c r="W10" s="8"/>
      <c r="X10" s="8"/>
      <c r="Y10" s="8"/>
    </row>
    <row r="11" spans="1:26" ht="14.4" customHeight="1" x14ac:dyDescent="0.3">
      <c r="A11" s="5"/>
      <c r="B11" s="5"/>
      <c r="C11" s="5"/>
      <c r="D11" s="5"/>
      <c r="E11" s="5"/>
      <c r="F11" s="11"/>
      <c r="G11" s="11"/>
      <c r="H11" s="11"/>
      <c r="I11" s="11"/>
      <c r="J11" s="11"/>
      <c r="K11" s="8"/>
      <c r="L11" s="8"/>
      <c r="M11" s="8"/>
      <c r="N11" s="8"/>
      <c r="O11" s="8"/>
      <c r="P11" s="10"/>
      <c r="Q11" s="10"/>
      <c r="R11" s="10"/>
      <c r="S11" s="10"/>
      <c r="T11" s="10"/>
      <c r="U11" s="8"/>
      <c r="V11" s="8"/>
      <c r="W11" s="8"/>
      <c r="X11" s="8"/>
      <c r="Y11" s="8"/>
    </row>
    <row r="12" spans="1:26" ht="14.4" customHeight="1" x14ac:dyDescent="0.3">
      <c r="A12" s="5"/>
      <c r="B12" s="5"/>
      <c r="C12" s="5"/>
      <c r="D12" s="5"/>
      <c r="E12" s="5"/>
      <c r="F12" s="11"/>
      <c r="G12" s="11"/>
      <c r="H12" s="11"/>
      <c r="I12" s="11"/>
      <c r="J12" s="11"/>
      <c r="K12" s="8"/>
      <c r="L12" s="8"/>
      <c r="M12" s="8"/>
      <c r="N12" s="8"/>
      <c r="O12" s="8"/>
      <c r="P12" s="10"/>
      <c r="Q12" s="10"/>
      <c r="R12" s="10"/>
      <c r="S12" s="10"/>
      <c r="T12" s="10"/>
      <c r="U12" s="8"/>
      <c r="V12" s="8"/>
      <c r="W12" s="8"/>
      <c r="X12" s="8"/>
      <c r="Y12" s="8"/>
    </row>
    <row r="13" spans="1:26" ht="14.4" customHeight="1" x14ac:dyDescent="0.3">
      <c r="A13" s="5"/>
      <c r="B13" s="5"/>
      <c r="C13" s="5"/>
      <c r="D13" s="5"/>
      <c r="E13" s="5"/>
      <c r="F13" s="11"/>
      <c r="G13" s="11"/>
      <c r="H13" s="11"/>
      <c r="I13" s="11"/>
      <c r="J13" s="11"/>
      <c r="K13" s="8"/>
      <c r="L13" s="8"/>
      <c r="M13" s="8"/>
      <c r="N13" s="8"/>
      <c r="O13" s="8"/>
      <c r="P13" s="10"/>
      <c r="Q13" s="10"/>
      <c r="R13" s="10"/>
      <c r="S13" s="10"/>
      <c r="T13" s="10"/>
      <c r="U13" s="8"/>
      <c r="V13" s="8"/>
      <c r="W13" s="8"/>
      <c r="X13" s="8"/>
      <c r="Y13" s="8"/>
    </row>
    <row r="14" spans="1:26" ht="14.4" customHeight="1" x14ac:dyDescent="0.3">
      <c r="A14" s="5"/>
      <c r="B14" s="5"/>
      <c r="C14" s="5"/>
      <c r="D14" s="5"/>
      <c r="E14" s="5"/>
      <c r="F14" s="11"/>
      <c r="G14" s="11"/>
      <c r="H14" s="11"/>
      <c r="I14" s="11"/>
      <c r="J14" s="11"/>
      <c r="K14" s="8"/>
      <c r="L14" s="8"/>
      <c r="M14" s="8"/>
      <c r="N14" s="8"/>
      <c r="O14" s="8"/>
      <c r="P14" s="10"/>
      <c r="Q14" s="10"/>
      <c r="R14" s="10"/>
      <c r="S14" s="10"/>
      <c r="T14" s="10"/>
      <c r="U14" s="8"/>
      <c r="V14" s="8"/>
      <c r="W14" s="8"/>
      <c r="X14" s="8"/>
      <c r="Y14" s="8"/>
    </row>
    <row r="15" spans="1:26" x14ac:dyDescent="0.3">
      <c r="A15" s="13" t="s">
        <v>73</v>
      </c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</row>
    <row r="16" spans="1:26" x14ac:dyDescent="0.3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</row>
    <row r="17" spans="1:25" x14ac:dyDescent="0.3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</row>
  </sheetData>
  <mergeCells count="12">
    <mergeCell ref="U5:Y8"/>
    <mergeCell ref="U9:Y14"/>
    <mergeCell ref="A15:Y17"/>
    <mergeCell ref="A1:Z4"/>
    <mergeCell ref="A9:E14"/>
    <mergeCell ref="F9:J14"/>
    <mergeCell ref="K5:O8"/>
    <mergeCell ref="K9:O14"/>
    <mergeCell ref="P5:T8"/>
    <mergeCell ref="P9:T14"/>
    <mergeCell ref="A5:E8"/>
    <mergeCell ref="F5:J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A4C2D-5163-4BA2-A7B6-7672503555C7}">
  <dimension ref="A1:M18"/>
  <sheetViews>
    <sheetView tabSelected="1" zoomScale="217" workbookViewId="0">
      <selection activeCell="B2" sqref="B2:G9"/>
    </sheetView>
  </sheetViews>
  <sheetFormatPr defaultRowHeight="14.4" x14ac:dyDescent="0.3"/>
  <cols>
    <col min="1" max="1" width="17.33203125" customWidth="1"/>
    <col min="2" max="2" width="12.5546875" customWidth="1"/>
    <col min="3" max="3" width="13" customWidth="1"/>
    <col min="4" max="4" width="12.77734375" customWidth="1"/>
    <col min="5" max="5" width="11.6640625" bestFit="1" customWidth="1"/>
    <col min="6" max="7" width="11.88671875" bestFit="1" customWidth="1"/>
  </cols>
  <sheetData>
    <row r="1" spans="1:13" x14ac:dyDescent="0.3">
      <c r="A1" s="15" t="s">
        <v>39</v>
      </c>
      <c r="B1" s="16" t="s">
        <v>32</v>
      </c>
      <c r="C1" s="16" t="s">
        <v>18</v>
      </c>
      <c r="D1" s="16" t="s">
        <v>17</v>
      </c>
      <c r="E1" s="16" t="s">
        <v>75</v>
      </c>
      <c r="F1" s="16" t="s">
        <v>76</v>
      </c>
      <c r="G1" s="16" t="s">
        <v>77</v>
      </c>
    </row>
    <row r="2" spans="1:13" ht="19.2" customHeight="1" x14ac:dyDescent="0.3">
      <c r="A2" s="19" t="s">
        <v>78</v>
      </c>
      <c r="B2" s="18">
        <v>43004</v>
      </c>
      <c r="C2" s="18">
        <v>45754</v>
      </c>
      <c r="D2" s="18">
        <v>47061</v>
      </c>
      <c r="E2" s="18">
        <f>D2*(1+4/100)</f>
        <v>48943.44</v>
      </c>
      <c r="F2" s="18">
        <f>E2*(1+4/100)</f>
        <v>50901.177600000003</v>
      </c>
      <c r="G2" s="18">
        <f>F2*(1+4/100)</f>
        <v>52937.224704000007</v>
      </c>
    </row>
    <row r="3" spans="1:13" ht="15" customHeight="1" x14ac:dyDescent="0.3">
      <c r="A3" s="19" t="s">
        <v>41</v>
      </c>
      <c r="B3" s="18"/>
      <c r="C3" s="18">
        <f>('income statement'!C3-'income statement'!D3)/'income statement'!D3</f>
        <v>2.8888888888888888E-2</v>
      </c>
      <c r="D3" s="18">
        <v>-2.8565808453905668E-2</v>
      </c>
      <c r="E3" s="18"/>
      <c r="F3" s="18"/>
      <c r="G3" s="18"/>
    </row>
    <row r="4" spans="1:13" ht="17.399999999999999" customHeight="1" x14ac:dyDescent="0.3">
      <c r="A4" s="19" t="s">
        <v>43</v>
      </c>
      <c r="B4" s="18">
        <v>0.58143428518277374</v>
      </c>
      <c r="C4" s="18">
        <v>0.5952266468505486</v>
      </c>
      <c r="D4" s="18">
        <v>0.61063300822336963</v>
      </c>
      <c r="E4" s="18">
        <v>0.626039369596191</v>
      </c>
      <c r="F4" s="18">
        <v>0.64144573096901203</v>
      </c>
      <c r="G4" s="18">
        <v>0.65685209234183295</v>
      </c>
    </row>
    <row r="5" spans="1:13" ht="17.399999999999999" customHeight="1" x14ac:dyDescent="0.3">
      <c r="A5" s="19" t="s">
        <v>7</v>
      </c>
      <c r="B5" s="20">
        <v>25004</v>
      </c>
      <c r="C5" s="20">
        <v>27234</v>
      </c>
      <c r="D5" s="20">
        <v>28737</v>
      </c>
      <c r="E5" s="18">
        <f>E2*D4</f>
        <v>29886.48</v>
      </c>
      <c r="F5" s="18">
        <f>F2*F4</f>
        <v>32650.343072815504</v>
      </c>
      <c r="G5" s="18">
        <f>G2*G4</f>
        <v>34771.926809592173</v>
      </c>
    </row>
    <row r="6" spans="1:13" ht="17.399999999999999" customHeight="1" x14ac:dyDescent="0.3">
      <c r="A6" s="19" t="s">
        <v>49</v>
      </c>
      <c r="B6" s="18">
        <v>0.25367407683006199</v>
      </c>
      <c r="C6" s="18">
        <v>0.24721335839489444</v>
      </c>
      <c r="D6" s="18">
        <v>0.21232018019166612</v>
      </c>
      <c r="E6" s="18">
        <v>0.19638197516714501</v>
      </c>
      <c r="F6" s="18">
        <v>0.175705026847947</v>
      </c>
      <c r="G6" s="18">
        <v>0.155028078528749</v>
      </c>
    </row>
    <row r="7" spans="1:13" ht="18.600000000000001" customHeight="1" x14ac:dyDescent="0.3">
      <c r="A7" s="19" t="s">
        <v>10</v>
      </c>
      <c r="B7" s="18">
        <v>10909</v>
      </c>
      <c r="C7" s="18">
        <v>11311</v>
      </c>
      <c r="D7" s="18">
        <v>9992</v>
      </c>
      <c r="E7" s="18">
        <v>9820.3333333333303</v>
      </c>
      <c r="F7" s="18">
        <v>9361.8333333333303</v>
      </c>
      <c r="G7" s="18">
        <v>8903.3333333333303</v>
      </c>
      <c r="I7" s="3"/>
      <c r="J7" s="3"/>
      <c r="K7" s="3"/>
    </row>
    <row r="8" spans="1:13" ht="18.600000000000001" customHeight="1" x14ac:dyDescent="0.3">
      <c r="A8" s="19" t="s">
        <v>51</v>
      </c>
      <c r="B8" s="20">
        <v>0.22188633615477629</v>
      </c>
      <c r="C8" s="20">
        <v>0.23416531887922368</v>
      </c>
      <c r="D8" s="20">
        <v>0.22589830220352308</v>
      </c>
      <c r="E8" s="20">
        <v>0.23132861846125399</v>
      </c>
      <c r="F8" s="20">
        <v>0.23333460148562801</v>
      </c>
      <c r="G8" s="20">
        <v>0.23534058451000101</v>
      </c>
      <c r="I8" s="3"/>
      <c r="J8" s="3"/>
      <c r="K8" s="3"/>
    </row>
    <row r="9" spans="1:13" x14ac:dyDescent="0.3">
      <c r="A9" s="19" t="s">
        <v>79</v>
      </c>
      <c r="B9" s="18">
        <v>9542</v>
      </c>
      <c r="C9" s="18">
        <v>10714</v>
      </c>
      <c r="D9" s="18">
        <v>10631</v>
      </c>
      <c r="E9" s="18">
        <v>11384.666666666701</v>
      </c>
      <c r="F9" s="18">
        <v>11929.166666666701</v>
      </c>
      <c r="G9" s="18">
        <v>12473.666666666701</v>
      </c>
      <c r="I9" s="3"/>
      <c r="J9" s="3"/>
      <c r="K9" s="3"/>
      <c r="L9" s="3"/>
      <c r="M9" s="3"/>
    </row>
    <row r="10" spans="1:13" x14ac:dyDescent="0.3">
      <c r="I10" s="3"/>
      <c r="J10" s="3"/>
      <c r="K10" s="3"/>
    </row>
    <row r="11" spans="1:13" x14ac:dyDescent="0.3">
      <c r="I11" s="3"/>
      <c r="J11" s="3"/>
      <c r="K11" s="3"/>
    </row>
    <row r="12" spans="1:13" x14ac:dyDescent="0.3">
      <c r="I12" s="3"/>
      <c r="J12" s="3"/>
      <c r="K12" s="1"/>
    </row>
    <row r="13" spans="1:13" x14ac:dyDescent="0.3">
      <c r="K13" s="1"/>
    </row>
    <row r="14" spans="1:13" x14ac:dyDescent="0.3">
      <c r="K14" s="1"/>
    </row>
    <row r="15" spans="1:13" x14ac:dyDescent="0.3">
      <c r="K15" s="1"/>
    </row>
    <row r="16" spans="1:13" x14ac:dyDescent="0.3">
      <c r="K16" s="1"/>
    </row>
    <row r="17" spans="11:11" x14ac:dyDescent="0.3">
      <c r="K17" s="1"/>
    </row>
    <row r="18" spans="11:11" x14ac:dyDescent="0.3">
      <c r="K18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06AE8C6-3EB7-4349-AF97-E08F177D517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income statement</vt:lpstr>
      <vt:lpstr>balance sheet</vt:lpstr>
      <vt:lpstr>cash flow</vt:lpstr>
      <vt:lpstr>ratio analysis</vt:lpstr>
      <vt:lpstr>Trend Analysis</vt:lpstr>
      <vt:lpstr>forecast 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Parihar</dc:creator>
  <cp:lastModifiedBy>Mayank Parihar</cp:lastModifiedBy>
  <dcterms:created xsi:type="dcterms:W3CDTF">2026-07-12T12:59:09Z</dcterms:created>
  <dcterms:modified xsi:type="dcterms:W3CDTF">2026-07-13T09:51:27Z</dcterms:modified>
</cp:coreProperties>
</file>